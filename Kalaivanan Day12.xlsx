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BA5F6800-2958-4E7F-AA0D-F07C78868ACC}" xr6:coauthVersionLast="47" xr6:coauthVersionMax="47" xr10:uidLastSave="{00000000-0000-0000-0000-000000000000}"/>
  <bookViews>
    <workbookView xWindow="-108" yWindow="-108" windowWidth="23256" windowHeight="12456" xr2:uid="{4DDC61AA-6ABA-4343-8AA7-DCDA87C95A2F}"/>
  </bookViews>
  <sheets>
    <sheet name="Sheet1" sheetId="1" r:id="rId1"/>
  </sheets>
  <definedNames>
    <definedName name="ExternalData_1" localSheetId="0" hidden="1">Sheet1!$A$1:$I$109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6" i="1"/>
  <c r="N8" i="1" s="1"/>
  <c r="N10" i="1" l="1"/>
  <c r="N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94C38D-9F1F-4D61-A682-F92F382CE5E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<sst xmlns="http://schemas.openxmlformats.org/spreadsheetml/2006/main" count="755" uniqueCount="229">
  <si>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</si>
  <si>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</si>
  <si>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</si>
  <si>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</si>
  <si>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</si>
  <si>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</si>
  <si>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</si>
  <si>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</si>
  <si>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</si>
  <si>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</si>
  <si>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</si>
  <si>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</si>
  <si>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</si>
  <si>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</si>
  <si>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</si>
  <si>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</si>
  <si>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</si>
  <si>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</si>
  <si>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</si>
  <si>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</si>
  <si>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</si>
  <si>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</si>
  <si>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</si>
  <si>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</si>
  <si>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</si>
  <si>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</si>
  <si>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</si>
  <si>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</si>
  <si>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</si>
  <si>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</si>
  <si>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</si>
  <si>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</si>
  <si>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</si>
  <si>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EMP1008</t>
  </si>
  <si>
    <t>user25@example.com</t>
  </si>
  <si>
    <t>EMP1009</t>
  </si>
  <si>
    <t>Chris Lee</t>
  </si>
  <si>
    <t>UK</t>
  </si>
  <si>
    <t>user153@example.com</t>
  </si>
  <si>
    <t>EMP1010</t>
  </si>
  <si>
    <t>Sam Wilson</t>
  </si>
  <si>
    <t>user18@example.com</t>
  </si>
  <si>
    <t>EMP1011</t>
  </si>
  <si>
    <t>user1@example.com</t>
  </si>
  <si>
    <t>EMP1013</t>
  </si>
  <si>
    <t>MALE</t>
  </si>
  <si>
    <t>user180@example.com</t>
  </si>
  <si>
    <t>EMP1015</t>
  </si>
  <si>
    <t>UNKNOWN</t>
  </si>
  <si>
    <t>user3@example.com</t>
  </si>
  <si>
    <t>EMP1016</t>
  </si>
  <si>
    <t>Bob Johnson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</si>
  <si>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</si>
  <si>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</si>
  <si>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</si>
  <si>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</si>
  <si>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</si>
  <si>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</si>
  <si>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</si>
  <si>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</si>
  <si>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</si>
  <si>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</si>
  <si>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EMP1022</t>
  </si>
  <si>
    <t>user128@example.com</t>
  </si>
  <si>
    <t>EMP1023</t>
  </si>
  <si>
    <t>Marketing</t>
  </si>
  <si>
    <t>user149@example.com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</si>
  <si>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</si>
  <si>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</si>
  <si>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</si>
  <si>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</si>
  <si>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</si>
  <si>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</si>
  <si>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</si>
  <si>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</si>
  <si>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</si>
  <si>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</si>
  <si>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EMP1033</t>
  </si>
  <si>
    <t>user136@example.com</t>
  </si>
  <si>
    <t>EMP1034</t>
  </si>
  <si>
    <t>user198@example.com</t>
  </si>
  <si>
    <t>EMP1036</t>
  </si>
  <si>
    <t>user31@example.com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</si>
  <si>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</si>
  <si>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</si>
  <si>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</si>
  <si>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</si>
  <si>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</si>
  <si>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</si>
  <si>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</si>
  <si>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</si>
  <si>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</si>
  <si>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</si>
  <si>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EMP1046</t>
  </si>
  <si>
    <t>user199@example.com</t>
  </si>
  <si>
    <t>EMP1047</t>
  </si>
  <si>
    <t>user43@example.com</t>
  </si>
  <si>
    <t>EMP1049</t>
  </si>
  <si>
    <t>user89@example.com</t>
  </si>
  <si>
    <t>EMP1051</t>
  </si>
  <si>
    <t>user59@example.com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</si>
  <si>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</si>
  <si>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</si>
  <si>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</si>
  <si>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</si>
  <si>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</si>
  <si>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</si>
  <si>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</si>
  <si>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</si>
  <si>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EMP1059</t>
  </si>
  <si>
    <t>user20@example.com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</si>
  <si>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</si>
  <si>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</si>
  <si>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</si>
  <si>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</si>
  <si>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</si>
  <si>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</si>
  <si>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</si>
  <si>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</si>
  <si>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</si>
  <si>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</si>
  <si>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</si>
  <si>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</si>
  <si>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</si>
  <si>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</si>
  <si>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user77@example.com</t>
  </si>
  <si>
    <t>EMP1069</t>
  </si>
  <si>
    <t>user65@example.com</t>
  </si>
  <si>
    <t>EMP1071</t>
  </si>
  <si>
    <t>user142@example.com</t>
  </si>
  <si>
    <t>EMP1072</t>
  </si>
  <si>
    <t>EMP1073</t>
  </si>
  <si>
    <t>EMP1074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</si>
  <si>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</si>
  <si>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</si>
  <si>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</si>
  <si>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</si>
  <si>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</si>
  <si>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</si>
  <si>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</si>
  <si>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</si>
  <si>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</si>
  <si>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</si>
  <si>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</si>
  <si>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</si>
  <si>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</si>
  <si>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</si>
  <si>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EMP1086</t>
  </si>
  <si>
    <t>user177@example.com</t>
  </si>
  <si>
    <t>EMP1087</t>
  </si>
  <si>
    <t>EMP1089</t>
  </si>
  <si>
    <t>EMP1091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</si>
  <si>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</si>
  <si>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</si>
  <si>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</si>
  <si>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</si>
  <si>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</si>
  <si>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</si>
  <si>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</si>
  <si>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</si>
  <si>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</si>
  <si>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</si>
  <si>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</si>
  <si>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</si>
  <si>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</si>
  <si>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</si>
  <si>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</si>
  <si>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</si>
  <si>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</si>
  <si>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EMP1104</t>
  </si>
  <si>
    <t>user40@example.com</t>
  </si>
  <si>
    <t>EMP1107</t>
  </si>
  <si>
    <t>EMP1109</t>
  </si>
  <si>
    <t>user174@example.com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</si>
  <si>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</si>
  <si>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</si>
  <si>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</si>
  <si>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</si>
  <si>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</si>
  <si>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</si>
  <si>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</si>
  <si>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</si>
  <si>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</si>
  <si>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</si>
  <si>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</si>
  <si>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</si>
  <si>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</si>
  <si>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</si>
  <si>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</si>
  <si>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EMP1126</t>
  </si>
  <si>
    <t>user100@example.com</t>
  </si>
  <si>
    <t>EMP1127</t>
  </si>
  <si>
    <t>EMP1128</t>
  </si>
  <si>
    <t>user167@example.com</t>
  </si>
  <si>
    <t>EMP1129</t>
  </si>
  <si>
    <t>EMP1131</t>
  </si>
  <si>
    <t>EMP1132</t>
  </si>
  <si>
    <t>user188@example.com</t>
  </si>
  <si>
    <t>EMP1133</t>
  </si>
  <si>
    <t>user44@example.com</t>
  </si>
  <si>
    <t>EMP1134</t>
  </si>
  <si>
    <t>EMP1135</t>
  </si>
  <si>
    <t>EMP1136</t>
  </si>
  <si>
    <t>EMP1137</t>
  </si>
  <si>
    <t>user165@example.com</t>
  </si>
  <si>
    <t>EMP1138</t>
  </si>
  <si>
    <t>EMP1141</t>
  </si>
  <si>
    <t>EMP1143</t>
  </si>
  <si>
    <t>user114@example.com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</si>
  <si>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</si>
  <si>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</si>
  <si>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</si>
  <si>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</si>
  <si>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</si>
  <si>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</si>
  <si>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</si>
  <si>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</si>
  <si>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Column1</t>
  </si>
  <si>
    <t>Days Working</t>
  </si>
  <si>
    <t>SENIOR</t>
  </si>
  <si>
    <t>JUNIOR</t>
  </si>
  <si>
    <t>DATE</t>
  </si>
  <si>
    <t>DATE &amp; Time</t>
  </si>
  <si>
    <t>YEAR</t>
  </si>
  <si>
    <t>MONTH</t>
  </si>
  <si>
    <t>WEEKDAY</t>
  </si>
  <si>
    <t>Day 12 – Date &amp; Time Functions</t>
  </si>
  <si>
    <t>Practice: TODAY(), NOW(), YEAR(), MONTH(), WEEKDAY()</t>
  </si>
  <si>
    <t>Task: Calculate age,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</si>
</sst>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7" fontId="0" fillId="0" borderId="5" xfId="0" applyNumberFormat="1" applyBorder="1"/>
    <xf numFmtId="167" fontId="0" fillId="0" borderId="8" xfId="0" applyNumberFormat="1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167" fontId="0" fillId="3" borderId="10" xfId="0" applyNumberFormat="1" applyFill="1" applyBorder="1"/>
    <xf numFmtId="22" fontId="0" fillId="3" borderId="11" xfId="0" applyNumberFormat="1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1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1170DB-3793-4D75-B602-FF4496176FEB}" autoFormatId="16" applyNumberFormats="0" applyBorderFormats="0" applyFontFormats="0" applyPatternFormats="0" applyAlignmentFormats="0" applyWidthHeightFormats="0">
  <queryTableRefresh nextId="14" unboundColumnsRight="2">
    <queryTableFields count="11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2" dataBound="0" tableColumnId="11"/>
      <queryTableField id="13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BA91D-49D1-40C7-8E7C-6203CC5294E5}" name="Table1_1" displayName="Table1_1" ref="A1:K109" tableType="queryTable" totalsRowShown="0" headerRowDxfId="14" headerRowBorderDxfId="12" tableBorderDxfId="13" totalsRowBorderDxfId="11">
  <autoFilter ref="A1:K109" xr:uid="{A70BA91D-49D1-40C7-8E7C-6203CC5294E5}"/>
  <tableColumns count="11">
    <tableColumn id="1" xr3:uid="{3701B33A-6486-4642-95BF-51D7106F7367}" uniqueName="1" name="Employee ID" queryTableFieldId="1" dataDxfId="10"/>
    <tableColumn id="2" xr3:uid="{4720F346-8A2E-4FAB-A50A-CF77EB5B5EC3}" uniqueName="2" name="Name" queryTableFieldId="2" dataDxfId="9"/>
    <tableColumn id="3" xr3:uid="{F7BFE317-EAE1-4E3F-9D84-CCF3174CA8DB}" uniqueName="3" name="Department" queryTableFieldId="3" dataDxfId="8"/>
    <tableColumn id="4" xr3:uid="{E73788B8-4665-465A-BC32-06B038DC12B0}" uniqueName="4" name="Country" queryTableFieldId="4" dataDxfId="7"/>
    <tableColumn id="5" xr3:uid="{572952DC-96AF-4466-A2E9-0DBDCB59CA75}" uniqueName="5" name="Salary" queryTableFieldId="5" dataDxfId="4"/>
    <tableColumn id="6" xr3:uid="{A533661F-35E1-4B18-A0A5-EA78586F3B38}" uniqueName="6" name="Date of Joining" queryTableFieldId="6" dataDxfId="2"/>
    <tableColumn id="7" xr3:uid="{2D8B0B98-78E4-4BAA-A4EA-D325639C3FF5}" uniqueName="7" name="Performance Rating" queryTableFieldId="7" dataDxfId="3"/>
    <tableColumn id="8" xr3:uid="{47CF9B80-4328-4CE8-894E-F9AE2FF69209}" uniqueName="8" name="Gender" queryTableFieldId="8" dataDxfId="6"/>
    <tableColumn id="9" xr3:uid="{20BA00A7-ED1F-4C07-BE9C-AD21AC6F62E7}" uniqueName="9" name="Email" queryTableFieldId="9" dataDxfId="5"/>
    <tableColumn id="11" xr3:uid="{BCFD0491-AAD6-402D-8BE8-B1BC2D4872DD}" uniqueName="11" name="Days Working" queryTableFieldId="12" dataDxfId="1"/>
    <tableColumn id="12" xr3:uid="{4DE44F34-DFAA-4142-9147-1F08118F65E6}" uniqueName="12" name="Column1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D153-4B7B-45B8-9463-984542B4802C}">
  <dimension ref="A1:N109"/>
  <sheetViews>
    <sheetView tabSelected="1" workbookViewId="0">
      <selection activeCell="M2" sqref="M2:N2"/>
    </sheetView>
  </sheetViews>
  <sheetFormatPr defaultRowHeight="14.4" x14ac:dyDescent="0.3"/>
  <cols>
    <col min="1" max="1" width="16.77734375" bestFit="1" customWidth="1"/>
    <col min="2" max="2" width="11.33203125" bestFit="1" customWidth="1"/>
    <col min="3" max="3" width="16.33203125" bestFit="1" customWidth="1"/>
    <col min="4" max="4" width="11.5546875" bestFit="1" customWidth="1"/>
    <col min="5" max="5" width="9.6640625" bestFit="1" customWidth="1"/>
    <col min="6" max="6" width="19.109375" bestFit="1" customWidth="1"/>
    <col min="7" max="7" width="24.5546875" bestFit="1" customWidth="1"/>
    <col min="8" max="8" width="11.109375" bestFit="1" customWidth="1"/>
    <col min="9" max="9" width="20.44140625" bestFit="1" customWidth="1"/>
    <col min="10" max="10" width="20.21875" style="13" bestFit="1" customWidth="1"/>
    <col min="13" max="13" width="21.77734375" customWidth="1"/>
    <col min="14" max="14" width="24.77734375" customWidth="1"/>
  </cols>
  <sheetData>
    <row r="1" spans="1:14" ht="18.60000000000000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2" t="s">
        <v>218</v>
      </c>
      <c r="K1" s="2" t="s">
        <v>217</v>
      </c>
      <c r="L1" s="15"/>
      <c r="M1" s="15"/>
    </row>
    <row r="2" spans="1:14" x14ac:dyDescent="0.3">
      <c r="A2" s="4" t="s">
        <v>9</v>
      </c>
      <c r="B2" s="5" t="s">
        <v>10</v>
      </c>
      <c r="C2" s="5" t="s">
        <v>11</v>
      </c>
      <c r="D2" s="5" t="s">
        <v>12</v>
      </c>
      <c r="E2" s="5">
        <v>54255</v>
      </c>
      <c r="F2" s="10">
        <v>42015</v>
      </c>
      <c r="G2" s="5">
        <v>1</v>
      </c>
      <c r="H2" s="5" t="s">
        <v>13</v>
      </c>
      <c r="I2" s="6" t="s">
        <v>14</v>
      </c>
      <c r="J2" s="14">
        <v>3949</v>
      </c>
      <c r="K2" s="5" t="s">
        <v>219</v>
      </c>
      <c r="L2" s="16"/>
      <c r="M2" s="24" t="s">
        <v>226</v>
      </c>
      <c r="N2" s="25"/>
    </row>
    <row r="3" spans="1:14" x14ac:dyDescent="0.3">
      <c r="A3" s="4" t="s">
        <v>15</v>
      </c>
      <c r="B3" s="5" t="s">
        <v>16</v>
      </c>
      <c r="C3" s="5" t="s">
        <v>17</v>
      </c>
      <c r="D3" s="5" t="s">
        <v>12</v>
      </c>
      <c r="E3" s="5">
        <v>63184</v>
      </c>
      <c r="F3" s="10">
        <v>42022</v>
      </c>
      <c r="G3" s="5">
        <v>2</v>
      </c>
      <c r="H3" s="5" t="s">
        <v>18</v>
      </c>
      <c r="I3" s="6" t="s">
        <v>19</v>
      </c>
      <c r="J3" s="14">
        <v>3942</v>
      </c>
      <c r="K3" s="5" t="s">
        <v>219</v>
      </c>
      <c r="L3" s="16"/>
      <c r="M3" s="26" t="s">
        <v>227</v>
      </c>
      <c r="N3" s="27"/>
    </row>
    <row r="4" spans="1:14" x14ac:dyDescent="0.3">
      <c r="A4" s="4" t="s">
        <v>20</v>
      </c>
      <c r="B4" s="5" t="s">
        <v>21</v>
      </c>
      <c r="C4" s="5" t="s">
        <v>22</v>
      </c>
      <c r="D4" s="5" t="s">
        <v>23</v>
      </c>
      <c r="E4" s="5">
        <v>94406</v>
      </c>
      <c r="F4" s="10">
        <v>42029</v>
      </c>
      <c r="G4" s="5">
        <v>1</v>
      </c>
      <c r="H4" s="5" t="s">
        <v>24</v>
      </c>
      <c r="I4" s="6" t="s">
        <v>25</v>
      </c>
      <c r="J4" s="14">
        <v>3935</v>
      </c>
      <c r="K4" s="5" t="s">
        <v>219</v>
      </c>
      <c r="L4" s="16"/>
      <c r="M4" s="28" t="s">
        <v>228</v>
      </c>
      <c r="N4" s="29"/>
    </row>
    <row r="5" spans="1:14" ht="15" thickBot="1" x14ac:dyDescent="0.35">
      <c r="A5" s="4" t="s">
        <v>26</v>
      </c>
      <c r="B5" s="5" t="s">
        <v>27</v>
      </c>
      <c r="C5" s="5" t="s">
        <v>22</v>
      </c>
      <c r="D5" s="5" t="s">
        <v>12</v>
      </c>
      <c r="E5" s="5">
        <v>64120</v>
      </c>
      <c r="F5" s="10">
        <v>42036</v>
      </c>
      <c r="G5" s="5">
        <v>1</v>
      </c>
      <c r="H5" s="5" t="s">
        <v>24</v>
      </c>
      <c r="I5" s="6" t="s">
        <v>28</v>
      </c>
      <c r="J5" s="14">
        <v>3928</v>
      </c>
      <c r="K5" s="5" t="s">
        <v>219</v>
      </c>
      <c r="L5" s="16"/>
      <c r="M5" s="30"/>
      <c r="N5" s="31"/>
    </row>
    <row r="6" spans="1:14" x14ac:dyDescent="0.3">
      <c r="A6" s="4" t="s">
        <v>29</v>
      </c>
      <c r="B6" s="5" t="s">
        <v>16</v>
      </c>
      <c r="C6" s="5" t="s">
        <v>30</v>
      </c>
      <c r="D6" s="5" t="s">
        <v>31</v>
      </c>
      <c r="E6" s="5">
        <v>78421</v>
      </c>
      <c r="F6" s="10">
        <v>42043</v>
      </c>
      <c r="G6" s="5">
        <v>2</v>
      </c>
      <c r="H6" s="5" t="s">
        <v>18</v>
      </c>
      <c r="I6" s="6" t="s">
        <v>32</v>
      </c>
      <c r="J6" s="14">
        <v>3921</v>
      </c>
      <c r="K6" s="5" t="s">
        <v>219</v>
      </c>
      <c r="L6" s="16"/>
      <c r="M6" s="17" t="s">
        <v>221</v>
      </c>
      <c r="N6" s="20">
        <f ca="1">TODAY()</f>
        <v>45964</v>
      </c>
    </row>
    <row r="7" spans="1:14" x14ac:dyDescent="0.3">
      <c r="A7" s="4" t="s">
        <v>33</v>
      </c>
      <c r="B7" s="5" t="s">
        <v>16</v>
      </c>
      <c r="C7" s="5" t="s">
        <v>30</v>
      </c>
      <c r="D7" s="5" t="s">
        <v>12</v>
      </c>
      <c r="E7" s="5">
        <v>97881</v>
      </c>
      <c r="F7" s="10">
        <v>42064</v>
      </c>
      <c r="G7" s="5">
        <v>3</v>
      </c>
      <c r="H7" s="5" t="s">
        <v>18</v>
      </c>
      <c r="I7" s="6" t="s">
        <v>34</v>
      </c>
      <c r="J7" s="14">
        <v>3900</v>
      </c>
      <c r="K7" s="5" t="s">
        <v>219</v>
      </c>
      <c r="L7" s="16"/>
      <c r="M7" s="18" t="s">
        <v>222</v>
      </c>
      <c r="N7" s="21">
        <f ca="1">NOW()</f>
        <v>45964.097634375001</v>
      </c>
    </row>
    <row r="8" spans="1:14" x14ac:dyDescent="0.3">
      <c r="A8" s="4" t="s">
        <v>35</v>
      </c>
      <c r="B8" s="5" t="s">
        <v>36</v>
      </c>
      <c r="C8" s="5" t="s">
        <v>11</v>
      </c>
      <c r="D8" s="5" t="s">
        <v>37</v>
      </c>
      <c r="E8" s="5">
        <v>91846</v>
      </c>
      <c r="F8" s="10">
        <v>42071</v>
      </c>
      <c r="G8" s="5">
        <v>3</v>
      </c>
      <c r="H8" s="5" t="s">
        <v>24</v>
      </c>
      <c r="I8" s="6" t="s">
        <v>38</v>
      </c>
      <c r="J8" s="14">
        <v>3893</v>
      </c>
      <c r="K8" s="5" t="s">
        <v>219</v>
      </c>
      <c r="L8" s="16"/>
      <c r="M8" s="18" t="s">
        <v>223</v>
      </c>
      <c r="N8" s="22">
        <f ca="1">YEAR(N6)</f>
        <v>2025</v>
      </c>
    </row>
    <row r="9" spans="1:14" x14ac:dyDescent="0.3">
      <c r="A9" s="4" t="s">
        <v>39</v>
      </c>
      <c r="B9" s="5" t="s">
        <v>40</v>
      </c>
      <c r="C9" s="5" t="s">
        <v>17</v>
      </c>
      <c r="D9" s="5" t="s">
        <v>37</v>
      </c>
      <c r="E9" s="5">
        <v>64247</v>
      </c>
      <c r="F9" s="10">
        <v>42078</v>
      </c>
      <c r="G9" s="5">
        <v>1</v>
      </c>
      <c r="H9" s="5" t="s">
        <v>18</v>
      </c>
      <c r="I9" s="6" t="s">
        <v>41</v>
      </c>
      <c r="J9" s="14">
        <v>3886</v>
      </c>
      <c r="K9" s="5" t="s">
        <v>219</v>
      </c>
      <c r="L9" s="16"/>
      <c r="M9" s="18" t="s">
        <v>224</v>
      </c>
      <c r="N9" s="22">
        <f ca="1">MONTH(N6)</f>
        <v>11</v>
      </c>
    </row>
    <row r="10" spans="1:14" ht="15" thickBot="1" x14ac:dyDescent="0.35">
      <c r="A10" s="4" t="s">
        <v>42</v>
      </c>
      <c r="B10" s="5" t="s">
        <v>40</v>
      </c>
      <c r="C10" s="5" t="s">
        <v>30</v>
      </c>
      <c r="D10" s="5" t="s">
        <v>23</v>
      </c>
      <c r="E10" s="5">
        <v>91180</v>
      </c>
      <c r="F10" s="10">
        <v>42085</v>
      </c>
      <c r="G10" s="5">
        <v>5</v>
      </c>
      <c r="H10" s="5" t="s">
        <v>24</v>
      </c>
      <c r="I10" s="6" t="s">
        <v>43</v>
      </c>
      <c r="J10" s="14">
        <v>3879</v>
      </c>
      <c r="K10" s="5" t="s">
        <v>219</v>
      </c>
      <c r="L10" s="16"/>
      <c r="M10" s="19" t="s">
        <v>225</v>
      </c>
      <c r="N10" s="23">
        <f ca="1">WEEKDAY(N6)</f>
        <v>2</v>
      </c>
    </row>
    <row r="11" spans="1:14" x14ac:dyDescent="0.3">
      <c r="A11" s="4" t="s">
        <v>44</v>
      </c>
      <c r="B11" s="5" t="s">
        <v>40</v>
      </c>
      <c r="C11" s="5"/>
      <c r="D11" s="5" t="s">
        <v>31</v>
      </c>
      <c r="E11" s="5">
        <v>62158</v>
      </c>
      <c r="F11" s="10">
        <v>42099</v>
      </c>
      <c r="G11" s="5">
        <v>4</v>
      </c>
      <c r="H11" s="5" t="s">
        <v>45</v>
      </c>
      <c r="I11" s="6" t="s">
        <v>46</v>
      </c>
      <c r="J11" s="14">
        <v>3865</v>
      </c>
      <c r="K11" s="5" t="s">
        <v>219</v>
      </c>
      <c r="L11" s="16"/>
      <c r="M11" s="16"/>
    </row>
    <row r="12" spans="1:14" x14ac:dyDescent="0.3">
      <c r="A12" s="4" t="s">
        <v>47</v>
      </c>
      <c r="B12" s="5" t="s">
        <v>48</v>
      </c>
      <c r="C12" s="5" t="s">
        <v>30</v>
      </c>
      <c r="D12" s="5" t="s">
        <v>31</v>
      </c>
      <c r="E12" s="5">
        <v>92443</v>
      </c>
      <c r="F12" s="10">
        <v>42113</v>
      </c>
      <c r="G12" s="5">
        <v>3</v>
      </c>
      <c r="H12" s="5" t="s">
        <v>13</v>
      </c>
      <c r="I12" s="6" t="s">
        <v>49</v>
      </c>
      <c r="J12" s="14">
        <v>3851</v>
      </c>
      <c r="K12" s="5" t="s">
        <v>219</v>
      </c>
      <c r="L12" s="16"/>
      <c r="M12" s="16"/>
    </row>
    <row r="13" spans="1:14" x14ac:dyDescent="0.3">
      <c r="A13" s="4" t="s">
        <v>50</v>
      </c>
      <c r="B13" s="5" t="s">
        <v>51</v>
      </c>
      <c r="C13" s="5"/>
      <c r="D13" s="5" t="s">
        <v>12</v>
      </c>
      <c r="E13" s="5">
        <v>90271</v>
      </c>
      <c r="F13" s="10">
        <v>42120</v>
      </c>
      <c r="G13" s="5">
        <v>3</v>
      </c>
      <c r="H13" s="5" t="s">
        <v>45</v>
      </c>
      <c r="I13" s="6" t="s">
        <v>52</v>
      </c>
      <c r="J13" s="14">
        <v>3844</v>
      </c>
      <c r="K13" s="5" t="s">
        <v>219</v>
      </c>
      <c r="L13" s="16"/>
      <c r="M13" s="16"/>
    </row>
    <row r="14" spans="1:14" x14ac:dyDescent="0.3">
      <c r="A14" s="4" t="s">
        <v>53</v>
      </c>
      <c r="B14" s="5" t="s">
        <v>27</v>
      </c>
      <c r="C14" s="5" t="s">
        <v>17</v>
      </c>
      <c r="D14" s="5" t="s">
        <v>54</v>
      </c>
      <c r="E14" s="5">
        <v>41341</v>
      </c>
      <c r="F14" s="10">
        <v>42127</v>
      </c>
      <c r="G14" s="5">
        <v>1</v>
      </c>
      <c r="H14" s="5" t="s">
        <v>13</v>
      </c>
      <c r="I14" s="6" t="s">
        <v>55</v>
      </c>
      <c r="J14" s="14">
        <v>3837</v>
      </c>
      <c r="K14" s="5" t="s">
        <v>219</v>
      </c>
      <c r="L14" s="16"/>
      <c r="M14" s="16"/>
    </row>
    <row r="15" spans="1:14" x14ac:dyDescent="0.3">
      <c r="A15" s="4" t="s">
        <v>56</v>
      </c>
      <c r="B15" s="5" t="s">
        <v>16</v>
      </c>
      <c r="C15" s="5" t="s">
        <v>17</v>
      </c>
      <c r="D15" s="5" t="s">
        <v>37</v>
      </c>
      <c r="E15" s="5">
        <v>73602</v>
      </c>
      <c r="F15" s="10">
        <v>42134</v>
      </c>
      <c r="G15" s="5">
        <v>3</v>
      </c>
      <c r="H15" s="5" t="s">
        <v>18</v>
      </c>
      <c r="I15" s="6" t="s">
        <v>57</v>
      </c>
      <c r="J15" s="14">
        <v>3830</v>
      </c>
      <c r="K15" s="5" t="s">
        <v>219</v>
      </c>
      <c r="L15" s="16"/>
      <c r="M15" s="16"/>
    </row>
    <row r="16" spans="1:14" x14ac:dyDescent="0.3">
      <c r="A16" s="4" t="s">
        <v>58</v>
      </c>
      <c r="B16" s="5" t="s">
        <v>10</v>
      </c>
      <c r="C16" s="5"/>
      <c r="D16" s="5" t="s">
        <v>31</v>
      </c>
      <c r="E16" s="5">
        <v>67531</v>
      </c>
      <c r="F16" s="10">
        <v>42141</v>
      </c>
      <c r="G16" s="5">
        <v>5</v>
      </c>
      <c r="H16" s="5" t="s">
        <v>18</v>
      </c>
      <c r="I16" s="6" t="s">
        <v>59</v>
      </c>
      <c r="J16" s="14">
        <v>3823</v>
      </c>
      <c r="K16" s="5" t="s">
        <v>219</v>
      </c>
      <c r="L16" s="16"/>
      <c r="M16" s="16"/>
    </row>
    <row r="17" spans="1:13" x14ac:dyDescent="0.3">
      <c r="A17" s="4" t="s">
        <v>60</v>
      </c>
      <c r="B17" s="5" t="s">
        <v>27</v>
      </c>
      <c r="C17" s="5" t="s">
        <v>11</v>
      </c>
      <c r="D17" s="5" t="s">
        <v>23</v>
      </c>
      <c r="E17" s="5">
        <v>65557</v>
      </c>
      <c r="F17" s="10">
        <v>42148</v>
      </c>
      <c r="G17" s="5">
        <v>2</v>
      </c>
      <c r="H17" s="5" t="s">
        <v>13</v>
      </c>
      <c r="I17" s="6" t="s">
        <v>61</v>
      </c>
      <c r="J17" s="14">
        <v>3816</v>
      </c>
      <c r="K17" s="5" t="s">
        <v>219</v>
      </c>
      <c r="L17" s="16"/>
      <c r="M17" s="16"/>
    </row>
    <row r="18" spans="1:13" x14ac:dyDescent="0.3">
      <c r="A18" s="4" t="s">
        <v>62</v>
      </c>
      <c r="B18" s="5" t="s">
        <v>10</v>
      </c>
      <c r="C18" s="5" t="s">
        <v>17</v>
      </c>
      <c r="D18" s="5" t="s">
        <v>31</v>
      </c>
      <c r="E18" s="5">
        <v>38333</v>
      </c>
      <c r="F18" s="10">
        <v>42162</v>
      </c>
      <c r="G18" s="5">
        <v>5</v>
      </c>
      <c r="H18" s="5" t="s">
        <v>45</v>
      </c>
      <c r="I18" s="6" t="s">
        <v>63</v>
      </c>
      <c r="J18" s="14">
        <v>3802</v>
      </c>
      <c r="K18" s="5" t="s">
        <v>219</v>
      </c>
      <c r="L18" s="16"/>
      <c r="M18" s="16"/>
    </row>
    <row r="19" spans="1:13" x14ac:dyDescent="0.3">
      <c r="A19" s="4" t="s">
        <v>64</v>
      </c>
      <c r="B19" s="5" t="s">
        <v>16</v>
      </c>
      <c r="C19" s="5" t="s">
        <v>65</v>
      </c>
      <c r="D19" s="5" t="s">
        <v>37</v>
      </c>
      <c r="E19" s="5">
        <v>36515</v>
      </c>
      <c r="F19" s="10">
        <v>42169</v>
      </c>
      <c r="G19" s="5">
        <v>3</v>
      </c>
      <c r="H19" s="5" t="s">
        <v>24</v>
      </c>
      <c r="I19" s="6" t="s">
        <v>66</v>
      </c>
      <c r="J19" s="14">
        <v>3795</v>
      </c>
      <c r="K19" s="5" t="s">
        <v>219</v>
      </c>
      <c r="L19" s="16"/>
      <c r="M19" s="16"/>
    </row>
    <row r="20" spans="1:13" x14ac:dyDescent="0.3">
      <c r="A20" s="4" t="s">
        <v>67</v>
      </c>
      <c r="B20" s="5" t="s">
        <v>10</v>
      </c>
      <c r="C20" s="5" t="s">
        <v>22</v>
      </c>
      <c r="D20" s="5" t="s">
        <v>12</v>
      </c>
      <c r="E20" s="5">
        <v>76518</v>
      </c>
      <c r="F20" s="10">
        <v>42190</v>
      </c>
      <c r="G20" s="5">
        <v>2</v>
      </c>
      <c r="H20" s="5" t="s">
        <v>18</v>
      </c>
      <c r="I20" s="6" t="s">
        <v>68</v>
      </c>
      <c r="J20" s="14">
        <v>3774</v>
      </c>
      <c r="K20" s="5" t="s">
        <v>219</v>
      </c>
      <c r="L20" s="16"/>
      <c r="M20" s="16"/>
    </row>
    <row r="21" spans="1:13" x14ac:dyDescent="0.3">
      <c r="A21" s="4" t="s">
        <v>69</v>
      </c>
      <c r="B21" s="5" t="s">
        <v>16</v>
      </c>
      <c r="C21" s="5" t="s">
        <v>30</v>
      </c>
      <c r="D21" s="5" t="s">
        <v>37</v>
      </c>
      <c r="E21" s="5">
        <v>41448</v>
      </c>
      <c r="F21" s="10">
        <v>42197</v>
      </c>
      <c r="G21" s="5">
        <v>3</v>
      </c>
      <c r="H21" s="5" t="s">
        <v>13</v>
      </c>
      <c r="I21" s="6" t="s">
        <v>70</v>
      </c>
      <c r="J21" s="14">
        <v>3767</v>
      </c>
      <c r="K21" s="5" t="s">
        <v>219</v>
      </c>
      <c r="L21" s="16"/>
      <c r="M21" s="16"/>
    </row>
    <row r="22" spans="1:13" x14ac:dyDescent="0.3">
      <c r="A22" s="4" t="s">
        <v>71</v>
      </c>
      <c r="B22" s="5" t="s">
        <v>21</v>
      </c>
      <c r="C22" s="5" t="s">
        <v>11</v>
      </c>
      <c r="D22" s="5" t="s">
        <v>37</v>
      </c>
      <c r="E22" s="5">
        <v>49282</v>
      </c>
      <c r="F22" s="10">
        <v>42204</v>
      </c>
      <c r="G22" s="5">
        <v>2</v>
      </c>
      <c r="H22" s="5" t="s">
        <v>18</v>
      </c>
      <c r="I22" s="6" t="s">
        <v>72</v>
      </c>
      <c r="J22" s="14">
        <v>3760</v>
      </c>
      <c r="K22" s="5" t="s">
        <v>219</v>
      </c>
      <c r="L22" s="16"/>
      <c r="M22" s="16"/>
    </row>
    <row r="23" spans="1:13" x14ac:dyDescent="0.3">
      <c r="A23" s="4" t="s">
        <v>73</v>
      </c>
      <c r="B23" s="5" t="s">
        <v>51</v>
      </c>
      <c r="C23" s="5" t="s">
        <v>65</v>
      </c>
      <c r="D23" s="5" t="s">
        <v>37</v>
      </c>
      <c r="E23" s="5">
        <v>92959</v>
      </c>
      <c r="F23" s="10">
        <v>42211</v>
      </c>
      <c r="G23" s="5">
        <v>5</v>
      </c>
      <c r="H23" s="5" t="s">
        <v>45</v>
      </c>
      <c r="I23" s="6" t="s">
        <v>74</v>
      </c>
      <c r="J23" s="14">
        <v>3753</v>
      </c>
      <c r="K23" s="5" t="s">
        <v>219</v>
      </c>
      <c r="L23" s="16"/>
      <c r="M23" s="16"/>
    </row>
    <row r="24" spans="1:13" x14ac:dyDescent="0.3">
      <c r="A24" s="4" t="s">
        <v>75</v>
      </c>
      <c r="B24" s="5" t="s">
        <v>10</v>
      </c>
      <c r="C24" s="5" t="s">
        <v>11</v>
      </c>
      <c r="D24" s="5" t="s">
        <v>12</v>
      </c>
      <c r="E24" s="5">
        <v>92299</v>
      </c>
      <c r="F24" s="10">
        <v>42225</v>
      </c>
      <c r="G24" s="5">
        <v>3</v>
      </c>
      <c r="H24" s="5" t="s">
        <v>24</v>
      </c>
      <c r="I24" s="6" t="s">
        <v>76</v>
      </c>
      <c r="J24" s="14">
        <v>3739</v>
      </c>
      <c r="K24" s="5" t="s">
        <v>219</v>
      </c>
      <c r="L24" s="16"/>
      <c r="M24" s="16"/>
    </row>
    <row r="25" spans="1:13" x14ac:dyDescent="0.3">
      <c r="A25" s="4" t="s">
        <v>77</v>
      </c>
      <c r="B25" s="5" t="s">
        <v>36</v>
      </c>
      <c r="C25" s="5"/>
      <c r="D25" s="5" t="s">
        <v>23</v>
      </c>
      <c r="E25" s="5">
        <v>95367</v>
      </c>
      <c r="F25" s="10">
        <v>42239</v>
      </c>
      <c r="G25" s="5">
        <v>3</v>
      </c>
      <c r="H25" s="5" t="s">
        <v>24</v>
      </c>
      <c r="I25" s="6" t="s">
        <v>78</v>
      </c>
      <c r="J25" s="14">
        <v>3725</v>
      </c>
      <c r="K25" s="5" t="s">
        <v>219</v>
      </c>
      <c r="L25" s="16"/>
      <c r="M25" s="16"/>
    </row>
    <row r="26" spans="1:13" x14ac:dyDescent="0.3">
      <c r="A26" s="4" t="s">
        <v>79</v>
      </c>
      <c r="B26" s="5" t="s">
        <v>21</v>
      </c>
      <c r="C26" s="5" t="s">
        <v>22</v>
      </c>
      <c r="D26" s="5" t="s">
        <v>54</v>
      </c>
      <c r="E26" s="5">
        <v>79549</v>
      </c>
      <c r="F26" s="10">
        <v>42246</v>
      </c>
      <c r="G26" s="5">
        <v>3</v>
      </c>
      <c r="H26" s="5" t="s">
        <v>45</v>
      </c>
      <c r="I26" s="6" t="s">
        <v>80</v>
      </c>
      <c r="J26" s="14">
        <v>3718</v>
      </c>
      <c r="K26" s="5" t="s">
        <v>219</v>
      </c>
      <c r="L26" s="16"/>
      <c r="M26" s="16"/>
    </row>
    <row r="27" spans="1:13" x14ac:dyDescent="0.3">
      <c r="A27" s="4" t="s">
        <v>81</v>
      </c>
      <c r="B27" s="5" t="s">
        <v>16</v>
      </c>
      <c r="C27" s="5" t="s">
        <v>30</v>
      </c>
      <c r="D27" s="5" t="s">
        <v>23</v>
      </c>
      <c r="E27" s="5">
        <v>89781</v>
      </c>
      <c r="F27" s="10">
        <v>42260</v>
      </c>
      <c r="G27" s="5">
        <v>3</v>
      </c>
      <c r="H27" s="5" t="s">
        <v>18</v>
      </c>
      <c r="I27" s="6" t="s">
        <v>82</v>
      </c>
      <c r="J27" s="14">
        <v>3704</v>
      </c>
      <c r="K27" s="5" t="s">
        <v>219</v>
      </c>
      <c r="L27" s="16"/>
      <c r="M27" s="16"/>
    </row>
    <row r="28" spans="1:13" x14ac:dyDescent="0.3">
      <c r="A28" s="4" t="s">
        <v>83</v>
      </c>
      <c r="B28" s="5" t="s">
        <v>21</v>
      </c>
      <c r="C28" s="5" t="s">
        <v>65</v>
      </c>
      <c r="D28" s="5" t="s">
        <v>37</v>
      </c>
      <c r="E28" s="5">
        <v>52093</v>
      </c>
      <c r="F28" s="10">
        <v>42274</v>
      </c>
      <c r="G28" s="5">
        <v>5</v>
      </c>
      <c r="H28" s="5" t="s">
        <v>45</v>
      </c>
      <c r="I28" s="6" t="s">
        <v>84</v>
      </c>
      <c r="J28" s="14">
        <v>3690</v>
      </c>
      <c r="K28" s="5" t="s">
        <v>219</v>
      </c>
      <c r="L28" s="16"/>
      <c r="M28" s="16"/>
    </row>
    <row r="29" spans="1:13" x14ac:dyDescent="0.3">
      <c r="A29" s="4" t="s">
        <v>85</v>
      </c>
      <c r="B29" s="5" t="s">
        <v>36</v>
      </c>
      <c r="C29" s="5" t="s">
        <v>11</v>
      </c>
      <c r="D29" s="5" t="s">
        <v>37</v>
      </c>
      <c r="E29" s="5">
        <v>48224</v>
      </c>
      <c r="F29" s="10">
        <v>42281</v>
      </c>
      <c r="G29" s="5">
        <v>3</v>
      </c>
      <c r="H29" s="5" t="s">
        <v>45</v>
      </c>
      <c r="I29" s="6" t="s">
        <v>86</v>
      </c>
      <c r="J29" s="14">
        <v>3683</v>
      </c>
      <c r="K29" s="5" t="s">
        <v>219</v>
      </c>
      <c r="L29" s="16"/>
      <c r="M29" s="16"/>
    </row>
    <row r="30" spans="1:13" x14ac:dyDescent="0.3">
      <c r="A30" s="4" t="s">
        <v>87</v>
      </c>
      <c r="B30" s="5" t="s">
        <v>16</v>
      </c>
      <c r="C30" s="5" t="s">
        <v>30</v>
      </c>
      <c r="D30" s="5" t="s">
        <v>12</v>
      </c>
      <c r="E30" s="5">
        <v>33956</v>
      </c>
      <c r="F30" s="10">
        <v>42295</v>
      </c>
      <c r="G30" s="5">
        <v>3</v>
      </c>
      <c r="H30" s="5" t="s">
        <v>18</v>
      </c>
      <c r="I30" s="6" t="s">
        <v>88</v>
      </c>
      <c r="J30" s="14">
        <v>3669</v>
      </c>
      <c r="K30" s="5" t="s">
        <v>219</v>
      </c>
      <c r="L30" s="16"/>
      <c r="M30" s="16"/>
    </row>
    <row r="31" spans="1:13" x14ac:dyDescent="0.3">
      <c r="A31" s="4" t="s">
        <v>89</v>
      </c>
      <c r="B31" s="5" t="s">
        <v>51</v>
      </c>
      <c r="C31" s="5"/>
      <c r="D31" s="5" t="s">
        <v>54</v>
      </c>
      <c r="E31" s="5">
        <v>64913</v>
      </c>
      <c r="F31" s="10">
        <v>42302</v>
      </c>
      <c r="G31" s="5">
        <v>1</v>
      </c>
      <c r="H31" s="5" t="s">
        <v>18</v>
      </c>
      <c r="I31" s="6" t="s">
        <v>90</v>
      </c>
      <c r="J31" s="14">
        <v>3662</v>
      </c>
      <c r="K31" s="5" t="s">
        <v>219</v>
      </c>
      <c r="L31" s="16"/>
      <c r="M31" s="16"/>
    </row>
    <row r="32" spans="1:13" x14ac:dyDescent="0.3">
      <c r="A32" s="4" t="s">
        <v>91</v>
      </c>
      <c r="B32" s="5" t="s">
        <v>16</v>
      </c>
      <c r="C32" s="5" t="s">
        <v>65</v>
      </c>
      <c r="D32" s="5" t="s">
        <v>54</v>
      </c>
      <c r="E32" s="5">
        <v>35326</v>
      </c>
      <c r="F32" s="10">
        <v>42309</v>
      </c>
      <c r="G32" s="5">
        <v>3</v>
      </c>
      <c r="H32" s="5" t="s">
        <v>18</v>
      </c>
      <c r="I32" s="6" t="s">
        <v>92</v>
      </c>
      <c r="J32" s="14">
        <v>3655</v>
      </c>
      <c r="K32" s="5" t="s">
        <v>219</v>
      </c>
      <c r="L32" s="16"/>
      <c r="M32" s="16"/>
    </row>
    <row r="33" spans="1:13" x14ac:dyDescent="0.3">
      <c r="A33" s="4" t="s">
        <v>93</v>
      </c>
      <c r="B33" s="5" t="s">
        <v>36</v>
      </c>
      <c r="C33" s="5" t="s">
        <v>30</v>
      </c>
      <c r="D33" s="5" t="s">
        <v>12</v>
      </c>
      <c r="E33" s="5">
        <v>92701</v>
      </c>
      <c r="F33" s="10">
        <v>42330</v>
      </c>
      <c r="G33" s="5">
        <v>3</v>
      </c>
      <c r="H33" s="5" t="s">
        <v>13</v>
      </c>
      <c r="I33" s="6" t="s">
        <v>94</v>
      </c>
      <c r="J33" s="14">
        <v>3634</v>
      </c>
      <c r="K33" s="5" t="s">
        <v>219</v>
      </c>
      <c r="L33" s="16"/>
      <c r="M33" s="16"/>
    </row>
    <row r="34" spans="1:13" x14ac:dyDescent="0.3">
      <c r="A34" s="4" t="s">
        <v>95</v>
      </c>
      <c r="B34" s="5" t="s">
        <v>36</v>
      </c>
      <c r="C34" s="5" t="s">
        <v>11</v>
      </c>
      <c r="D34" s="5" t="s">
        <v>31</v>
      </c>
      <c r="E34" s="5">
        <v>58245</v>
      </c>
      <c r="F34" s="10">
        <v>42337</v>
      </c>
      <c r="G34" s="5">
        <v>4</v>
      </c>
      <c r="H34" s="5" t="s">
        <v>45</v>
      </c>
      <c r="I34" s="6" t="s">
        <v>96</v>
      </c>
      <c r="J34" s="14">
        <v>3627</v>
      </c>
      <c r="K34" s="5" t="s">
        <v>219</v>
      </c>
      <c r="L34" s="16"/>
      <c r="M34" s="16"/>
    </row>
    <row r="35" spans="1:13" x14ac:dyDescent="0.3">
      <c r="A35" s="4" t="s">
        <v>97</v>
      </c>
      <c r="B35" s="5" t="s">
        <v>10</v>
      </c>
      <c r="C35" s="5" t="s">
        <v>11</v>
      </c>
      <c r="D35" s="5" t="s">
        <v>12</v>
      </c>
      <c r="E35" s="5">
        <v>78720</v>
      </c>
      <c r="F35" s="10">
        <v>42351</v>
      </c>
      <c r="G35" s="5">
        <v>5</v>
      </c>
      <c r="H35" s="5" t="s">
        <v>18</v>
      </c>
      <c r="I35" s="6" t="s">
        <v>98</v>
      </c>
      <c r="J35" s="14">
        <v>3613</v>
      </c>
      <c r="K35" s="5" t="s">
        <v>219</v>
      </c>
      <c r="L35" s="16"/>
      <c r="M35" s="16"/>
    </row>
    <row r="36" spans="1:13" x14ac:dyDescent="0.3">
      <c r="A36" s="4" t="s">
        <v>99</v>
      </c>
      <c r="B36" s="5" t="s">
        <v>40</v>
      </c>
      <c r="C36" s="5" t="s">
        <v>22</v>
      </c>
      <c r="D36" s="5" t="s">
        <v>31</v>
      </c>
      <c r="E36" s="5">
        <v>39423</v>
      </c>
      <c r="F36" s="10">
        <v>42365</v>
      </c>
      <c r="G36" s="5">
        <v>5</v>
      </c>
      <c r="H36" s="5" t="s">
        <v>45</v>
      </c>
      <c r="I36" s="6" t="s">
        <v>100</v>
      </c>
      <c r="J36" s="14">
        <v>3599</v>
      </c>
      <c r="K36" s="5" t="s">
        <v>219</v>
      </c>
      <c r="L36" s="16"/>
      <c r="M36" s="16"/>
    </row>
    <row r="37" spans="1:13" x14ac:dyDescent="0.3">
      <c r="A37" s="4" t="s">
        <v>101</v>
      </c>
      <c r="B37" s="5" t="s">
        <v>10</v>
      </c>
      <c r="C37" s="5" t="s">
        <v>17</v>
      </c>
      <c r="D37" s="5" t="s">
        <v>37</v>
      </c>
      <c r="E37" s="5">
        <v>33352</v>
      </c>
      <c r="F37" s="10">
        <v>42379</v>
      </c>
      <c r="G37" s="5">
        <v>3</v>
      </c>
      <c r="H37" s="5" t="s">
        <v>18</v>
      </c>
      <c r="I37" s="6" t="s">
        <v>61</v>
      </c>
      <c r="J37" s="14">
        <v>3585</v>
      </c>
      <c r="K37" s="5" t="s">
        <v>219</v>
      </c>
      <c r="L37" s="16"/>
      <c r="M37" s="16"/>
    </row>
    <row r="38" spans="1:13" x14ac:dyDescent="0.3">
      <c r="A38" s="4" t="s">
        <v>102</v>
      </c>
      <c r="B38" s="5" t="s">
        <v>51</v>
      </c>
      <c r="C38" s="5" t="s">
        <v>65</v>
      </c>
      <c r="D38" s="5" t="s">
        <v>37</v>
      </c>
      <c r="E38" s="5">
        <v>75633</v>
      </c>
      <c r="F38" s="10">
        <v>42386</v>
      </c>
      <c r="G38" s="5">
        <v>5</v>
      </c>
      <c r="H38" s="5" t="s">
        <v>13</v>
      </c>
      <c r="I38" s="6" t="s">
        <v>103</v>
      </c>
      <c r="J38" s="14">
        <v>3578</v>
      </c>
      <c r="K38" s="5" t="s">
        <v>219</v>
      </c>
      <c r="L38" s="16"/>
      <c r="M38" s="16"/>
    </row>
    <row r="39" spans="1:13" x14ac:dyDescent="0.3">
      <c r="A39" s="4" t="s">
        <v>104</v>
      </c>
      <c r="B39" s="5" t="s">
        <v>36</v>
      </c>
      <c r="C39" s="5"/>
      <c r="D39" s="5" t="s">
        <v>23</v>
      </c>
      <c r="E39" s="5">
        <v>74815</v>
      </c>
      <c r="F39" s="10">
        <v>42393</v>
      </c>
      <c r="G39" s="5">
        <v>5</v>
      </c>
      <c r="H39" s="5" t="s">
        <v>18</v>
      </c>
      <c r="I39" s="6" t="s">
        <v>105</v>
      </c>
      <c r="J39" s="14">
        <v>3571</v>
      </c>
      <c r="K39" s="5" t="s">
        <v>219</v>
      </c>
      <c r="L39" s="16"/>
      <c r="M39" s="16"/>
    </row>
    <row r="40" spans="1:13" x14ac:dyDescent="0.3">
      <c r="A40" s="4" t="s">
        <v>106</v>
      </c>
      <c r="B40" s="5" t="s">
        <v>21</v>
      </c>
      <c r="C40" s="5" t="s">
        <v>22</v>
      </c>
      <c r="D40" s="5" t="s">
        <v>54</v>
      </c>
      <c r="E40" s="5">
        <v>60011</v>
      </c>
      <c r="F40" s="10">
        <v>42400</v>
      </c>
      <c r="G40" s="5">
        <v>1</v>
      </c>
      <c r="H40" s="5" t="s">
        <v>24</v>
      </c>
      <c r="I40" s="6" t="s">
        <v>107</v>
      </c>
      <c r="J40" s="14">
        <v>3564</v>
      </c>
      <c r="K40" s="5" t="s">
        <v>219</v>
      </c>
      <c r="L40" s="16"/>
      <c r="M40" s="16"/>
    </row>
    <row r="41" spans="1:13" x14ac:dyDescent="0.3">
      <c r="A41" s="4" t="s">
        <v>108</v>
      </c>
      <c r="B41" s="5" t="s">
        <v>10</v>
      </c>
      <c r="C41" s="5"/>
      <c r="D41" s="5" t="s">
        <v>31</v>
      </c>
      <c r="E41" s="5">
        <v>96949</v>
      </c>
      <c r="F41" s="10">
        <v>42407</v>
      </c>
      <c r="G41" s="5">
        <v>3</v>
      </c>
      <c r="H41" s="5" t="s">
        <v>45</v>
      </c>
      <c r="I41" s="6" t="s">
        <v>70</v>
      </c>
      <c r="J41" s="14">
        <v>3557</v>
      </c>
      <c r="K41" s="5" t="s">
        <v>219</v>
      </c>
      <c r="L41" s="16"/>
      <c r="M41" s="16"/>
    </row>
    <row r="42" spans="1:13" x14ac:dyDescent="0.3">
      <c r="A42" s="4" t="s">
        <v>109</v>
      </c>
      <c r="B42" s="5" t="s">
        <v>40</v>
      </c>
      <c r="C42" s="5" t="s">
        <v>17</v>
      </c>
      <c r="D42" s="5" t="s">
        <v>23</v>
      </c>
      <c r="E42" s="5">
        <v>82033</v>
      </c>
      <c r="F42" s="10">
        <v>42421</v>
      </c>
      <c r="G42" s="5">
        <v>1</v>
      </c>
      <c r="H42" s="5" t="s">
        <v>45</v>
      </c>
      <c r="I42" s="6" t="s">
        <v>110</v>
      </c>
      <c r="J42" s="14">
        <v>3543</v>
      </c>
      <c r="K42" s="5" t="s">
        <v>219</v>
      </c>
      <c r="L42" s="16"/>
      <c r="M42" s="16"/>
    </row>
    <row r="43" spans="1:13" x14ac:dyDescent="0.3">
      <c r="A43" s="4" t="s">
        <v>111</v>
      </c>
      <c r="B43" s="5" t="s">
        <v>10</v>
      </c>
      <c r="C43" s="5"/>
      <c r="D43" s="5" t="s">
        <v>54</v>
      </c>
      <c r="E43" s="5">
        <v>31499</v>
      </c>
      <c r="F43" s="10">
        <v>42435</v>
      </c>
      <c r="G43" s="5">
        <v>2</v>
      </c>
      <c r="H43" s="5" t="s">
        <v>45</v>
      </c>
      <c r="I43" s="6" t="s">
        <v>82</v>
      </c>
      <c r="J43" s="14">
        <v>3529</v>
      </c>
      <c r="K43" s="5" t="s">
        <v>219</v>
      </c>
      <c r="L43" s="16"/>
      <c r="M43" s="16"/>
    </row>
    <row r="44" spans="1:13" x14ac:dyDescent="0.3">
      <c r="A44" s="4" t="s">
        <v>112</v>
      </c>
      <c r="B44" s="5" t="s">
        <v>36</v>
      </c>
      <c r="C44" s="5" t="s">
        <v>30</v>
      </c>
      <c r="D44" s="5" t="s">
        <v>37</v>
      </c>
      <c r="E44" s="5">
        <v>97981</v>
      </c>
      <c r="F44" s="10">
        <v>42442</v>
      </c>
      <c r="G44" s="5">
        <v>5</v>
      </c>
      <c r="H44" s="5" t="s">
        <v>18</v>
      </c>
      <c r="I44" s="6" t="s">
        <v>113</v>
      </c>
      <c r="J44" s="14">
        <v>3522</v>
      </c>
      <c r="K44" s="5" t="s">
        <v>219</v>
      </c>
      <c r="L44" s="16"/>
      <c r="M44" s="16"/>
    </row>
    <row r="45" spans="1:13" x14ac:dyDescent="0.3">
      <c r="A45" s="4" t="s">
        <v>114</v>
      </c>
      <c r="B45" s="5" t="s">
        <v>10</v>
      </c>
      <c r="C45" s="5" t="s">
        <v>11</v>
      </c>
      <c r="D45" s="5" t="s">
        <v>23</v>
      </c>
      <c r="E45" s="5">
        <v>36541</v>
      </c>
      <c r="F45" s="10">
        <v>42449</v>
      </c>
      <c r="G45" s="5">
        <v>2</v>
      </c>
      <c r="H45" s="5" t="s">
        <v>13</v>
      </c>
      <c r="I45" s="6" t="s">
        <v>115</v>
      </c>
      <c r="J45" s="14">
        <v>3515</v>
      </c>
      <c r="K45" s="5" t="s">
        <v>219</v>
      </c>
      <c r="L45" s="16"/>
      <c r="M45" s="16"/>
    </row>
    <row r="46" spans="1:13" x14ac:dyDescent="0.3">
      <c r="A46" s="4" t="s">
        <v>116</v>
      </c>
      <c r="B46" s="5" t="s">
        <v>21</v>
      </c>
      <c r="C46" s="5" t="s">
        <v>30</v>
      </c>
      <c r="D46" s="5" t="s">
        <v>31</v>
      </c>
      <c r="E46" s="5">
        <v>84737</v>
      </c>
      <c r="F46" s="10">
        <v>42456</v>
      </c>
      <c r="G46" s="5">
        <v>1</v>
      </c>
      <c r="H46" s="5" t="s">
        <v>24</v>
      </c>
      <c r="I46" s="6" t="s">
        <v>117</v>
      </c>
      <c r="J46" s="14">
        <v>3508</v>
      </c>
      <c r="K46" s="5" t="s">
        <v>219</v>
      </c>
      <c r="L46" s="16"/>
      <c r="M46" s="16"/>
    </row>
    <row r="47" spans="1:13" x14ac:dyDescent="0.3">
      <c r="A47" s="4" t="s">
        <v>118</v>
      </c>
      <c r="B47" s="5" t="s">
        <v>40</v>
      </c>
      <c r="C47" s="5" t="s">
        <v>17</v>
      </c>
      <c r="D47" s="5" t="s">
        <v>31</v>
      </c>
      <c r="E47" s="5">
        <v>33468</v>
      </c>
      <c r="F47" s="10">
        <v>42463</v>
      </c>
      <c r="G47" s="5">
        <v>4</v>
      </c>
      <c r="H47" s="5" t="s">
        <v>24</v>
      </c>
      <c r="I47" s="6" t="s">
        <v>119</v>
      </c>
      <c r="J47" s="14">
        <v>3501</v>
      </c>
      <c r="K47" s="5" t="s">
        <v>219</v>
      </c>
      <c r="L47" s="16"/>
      <c r="M47" s="16"/>
    </row>
    <row r="48" spans="1:13" x14ac:dyDescent="0.3">
      <c r="A48" s="4" t="s">
        <v>120</v>
      </c>
      <c r="B48" s="5" t="s">
        <v>40</v>
      </c>
      <c r="C48" s="5"/>
      <c r="D48" s="5" t="s">
        <v>54</v>
      </c>
      <c r="E48" s="5">
        <v>96365</v>
      </c>
      <c r="F48" s="10">
        <v>42470</v>
      </c>
      <c r="G48" s="5">
        <v>3</v>
      </c>
      <c r="H48" s="5" t="s">
        <v>13</v>
      </c>
      <c r="I48" s="6" t="s">
        <v>121</v>
      </c>
      <c r="J48" s="14">
        <v>3494</v>
      </c>
      <c r="K48" s="5" t="s">
        <v>220</v>
      </c>
      <c r="L48" s="16"/>
      <c r="M48" s="16"/>
    </row>
    <row r="49" spans="1:13" x14ac:dyDescent="0.3">
      <c r="A49" s="4" t="s">
        <v>122</v>
      </c>
      <c r="B49" s="5" t="s">
        <v>16</v>
      </c>
      <c r="C49" s="5" t="s">
        <v>22</v>
      </c>
      <c r="D49" s="5" t="s">
        <v>31</v>
      </c>
      <c r="E49" s="5">
        <v>61942</v>
      </c>
      <c r="F49" s="10">
        <v>42477</v>
      </c>
      <c r="G49" s="5">
        <v>3</v>
      </c>
      <c r="H49" s="5" t="s">
        <v>18</v>
      </c>
      <c r="I49" s="6" t="s">
        <v>123</v>
      </c>
      <c r="J49" s="14">
        <v>3487</v>
      </c>
      <c r="K49" s="5" t="s">
        <v>220</v>
      </c>
      <c r="L49" s="16"/>
      <c r="M49" s="16"/>
    </row>
    <row r="50" spans="1:13" x14ac:dyDescent="0.3">
      <c r="A50" s="4" t="s">
        <v>124</v>
      </c>
      <c r="B50" s="5" t="s">
        <v>40</v>
      </c>
      <c r="C50" s="5" t="s">
        <v>17</v>
      </c>
      <c r="D50" s="5" t="s">
        <v>37</v>
      </c>
      <c r="E50" s="5">
        <v>41467</v>
      </c>
      <c r="F50" s="10">
        <v>42484</v>
      </c>
      <c r="G50" s="5">
        <v>2</v>
      </c>
      <c r="H50" s="5" t="s">
        <v>45</v>
      </c>
      <c r="I50" s="6" t="s">
        <v>125</v>
      </c>
      <c r="J50" s="14">
        <v>3480</v>
      </c>
      <c r="K50" s="5" t="s">
        <v>220</v>
      </c>
      <c r="L50" s="16"/>
      <c r="M50" s="16"/>
    </row>
    <row r="51" spans="1:13" x14ac:dyDescent="0.3">
      <c r="A51" s="4" t="s">
        <v>126</v>
      </c>
      <c r="B51" s="5" t="s">
        <v>51</v>
      </c>
      <c r="C51" s="5" t="s">
        <v>17</v>
      </c>
      <c r="D51" s="5" t="s">
        <v>31</v>
      </c>
      <c r="E51" s="5">
        <v>77096</v>
      </c>
      <c r="F51" s="10">
        <v>42491</v>
      </c>
      <c r="G51" s="5">
        <v>1</v>
      </c>
      <c r="H51" s="5" t="s">
        <v>45</v>
      </c>
      <c r="I51" s="6" t="s">
        <v>127</v>
      </c>
      <c r="J51" s="14">
        <v>3473</v>
      </c>
      <c r="K51" s="5" t="s">
        <v>220</v>
      </c>
      <c r="L51" s="16"/>
      <c r="M51" s="16"/>
    </row>
    <row r="52" spans="1:13" x14ac:dyDescent="0.3">
      <c r="A52" s="4" t="s">
        <v>128</v>
      </c>
      <c r="B52" s="5" t="s">
        <v>10</v>
      </c>
      <c r="C52" s="5" t="s">
        <v>65</v>
      </c>
      <c r="D52" s="5" t="s">
        <v>23</v>
      </c>
      <c r="E52" s="5">
        <v>85065</v>
      </c>
      <c r="F52" s="10">
        <v>42505</v>
      </c>
      <c r="G52" s="5">
        <v>3</v>
      </c>
      <c r="H52" s="5" t="s">
        <v>45</v>
      </c>
      <c r="I52" s="6" t="s">
        <v>129</v>
      </c>
      <c r="J52" s="14">
        <v>3459</v>
      </c>
      <c r="K52" s="5" t="s">
        <v>220</v>
      </c>
      <c r="L52" s="16"/>
      <c r="M52" s="16"/>
    </row>
    <row r="53" spans="1:13" x14ac:dyDescent="0.3">
      <c r="A53" s="4" t="s">
        <v>130</v>
      </c>
      <c r="B53" s="5" t="s">
        <v>51</v>
      </c>
      <c r="C53" s="5" t="s">
        <v>65</v>
      </c>
      <c r="D53" s="5" t="s">
        <v>31</v>
      </c>
      <c r="E53" s="5">
        <v>56512</v>
      </c>
      <c r="F53" s="10">
        <v>42512</v>
      </c>
      <c r="G53" s="5">
        <v>3</v>
      </c>
      <c r="H53" s="5" t="s">
        <v>13</v>
      </c>
      <c r="I53" s="6" t="s">
        <v>38</v>
      </c>
      <c r="J53" s="14">
        <v>3452</v>
      </c>
      <c r="K53" s="5" t="s">
        <v>220</v>
      </c>
      <c r="L53" s="16"/>
      <c r="M53" s="16"/>
    </row>
    <row r="54" spans="1:13" x14ac:dyDescent="0.3">
      <c r="A54" s="4" t="s">
        <v>131</v>
      </c>
      <c r="B54" s="5" t="s">
        <v>21</v>
      </c>
      <c r="C54" s="5" t="s">
        <v>22</v>
      </c>
      <c r="D54" s="5" t="s">
        <v>31</v>
      </c>
      <c r="E54" s="5">
        <v>91101</v>
      </c>
      <c r="F54" s="10">
        <v>42519</v>
      </c>
      <c r="G54" s="5">
        <v>4</v>
      </c>
      <c r="H54" s="5" t="s">
        <v>18</v>
      </c>
      <c r="I54" s="6" t="s">
        <v>113</v>
      </c>
      <c r="J54" s="14">
        <v>3445</v>
      </c>
      <c r="K54" s="5" t="s">
        <v>220</v>
      </c>
      <c r="L54" s="16"/>
      <c r="M54" s="16"/>
    </row>
    <row r="55" spans="1:13" x14ac:dyDescent="0.3">
      <c r="A55" s="4" t="s">
        <v>132</v>
      </c>
      <c r="B55" s="5" t="s">
        <v>40</v>
      </c>
      <c r="C55" s="5"/>
      <c r="D55" s="5" t="s">
        <v>12</v>
      </c>
      <c r="E55" s="5">
        <v>41243</v>
      </c>
      <c r="F55" s="10">
        <v>42526</v>
      </c>
      <c r="G55" s="5">
        <v>3</v>
      </c>
      <c r="H55" s="5" t="s">
        <v>45</v>
      </c>
      <c r="I55" s="6" t="s">
        <v>76</v>
      </c>
      <c r="J55" s="14">
        <v>3438</v>
      </c>
      <c r="K55" s="5" t="s">
        <v>220</v>
      </c>
      <c r="L55" s="16"/>
      <c r="M55" s="16"/>
    </row>
    <row r="56" spans="1:13" x14ac:dyDescent="0.3">
      <c r="A56" s="4" t="s">
        <v>133</v>
      </c>
      <c r="B56" s="5" t="s">
        <v>10</v>
      </c>
      <c r="C56" s="5" t="s">
        <v>30</v>
      </c>
      <c r="D56" s="5" t="s">
        <v>31</v>
      </c>
      <c r="E56" s="5">
        <v>94301</v>
      </c>
      <c r="F56" s="10">
        <v>42540</v>
      </c>
      <c r="G56" s="5">
        <v>1</v>
      </c>
      <c r="H56" s="5" t="s">
        <v>24</v>
      </c>
      <c r="I56" s="6" t="s">
        <v>110</v>
      </c>
      <c r="J56" s="14">
        <v>3424</v>
      </c>
      <c r="K56" s="5" t="s">
        <v>220</v>
      </c>
      <c r="L56" s="16"/>
      <c r="M56" s="16"/>
    </row>
    <row r="57" spans="1:13" x14ac:dyDescent="0.3">
      <c r="A57" s="4" t="s">
        <v>134</v>
      </c>
      <c r="B57" s="5" t="s">
        <v>27</v>
      </c>
      <c r="C57" s="5"/>
      <c r="D57" s="5" t="s">
        <v>37</v>
      </c>
      <c r="E57" s="5">
        <v>69166</v>
      </c>
      <c r="F57" s="10">
        <v>42547</v>
      </c>
      <c r="G57" s="5">
        <v>1</v>
      </c>
      <c r="H57" s="5" t="s">
        <v>18</v>
      </c>
      <c r="I57" s="6" t="s">
        <v>135</v>
      </c>
      <c r="J57" s="14">
        <v>3417</v>
      </c>
      <c r="K57" s="5" t="s">
        <v>220</v>
      </c>
      <c r="L57" s="16"/>
      <c r="M57" s="16"/>
    </row>
    <row r="58" spans="1:13" x14ac:dyDescent="0.3">
      <c r="A58" s="4" t="s">
        <v>136</v>
      </c>
      <c r="B58" s="5" t="s">
        <v>40</v>
      </c>
      <c r="C58" s="5"/>
      <c r="D58" s="5" t="s">
        <v>37</v>
      </c>
      <c r="E58" s="5">
        <v>78245</v>
      </c>
      <c r="F58" s="10">
        <v>42554</v>
      </c>
      <c r="G58" s="5">
        <v>2</v>
      </c>
      <c r="H58" s="5" t="s">
        <v>45</v>
      </c>
      <c r="I58" s="6" t="s">
        <v>137</v>
      </c>
      <c r="J58" s="14">
        <v>3410</v>
      </c>
      <c r="K58" s="5" t="s">
        <v>220</v>
      </c>
      <c r="L58" s="16"/>
      <c r="M58" s="16"/>
    </row>
    <row r="59" spans="1:13" x14ac:dyDescent="0.3">
      <c r="A59" s="4" t="s">
        <v>138</v>
      </c>
      <c r="B59" s="5" t="s">
        <v>36</v>
      </c>
      <c r="C59" s="5" t="s">
        <v>22</v>
      </c>
      <c r="D59" s="5" t="s">
        <v>23</v>
      </c>
      <c r="E59" s="5">
        <v>66079</v>
      </c>
      <c r="F59" s="10">
        <v>42561</v>
      </c>
      <c r="G59" s="5">
        <v>2</v>
      </c>
      <c r="H59" s="5" t="s">
        <v>13</v>
      </c>
      <c r="I59" s="6" t="s">
        <v>139</v>
      </c>
      <c r="J59" s="14">
        <v>3403</v>
      </c>
      <c r="K59" s="5" t="s">
        <v>220</v>
      </c>
      <c r="L59" s="16"/>
      <c r="M59" s="16"/>
    </row>
    <row r="60" spans="1:13" x14ac:dyDescent="0.3">
      <c r="A60" s="4" t="s">
        <v>140</v>
      </c>
      <c r="B60" s="5" t="s">
        <v>27</v>
      </c>
      <c r="C60" s="5" t="s">
        <v>22</v>
      </c>
      <c r="D60" s="5" t="s">
        <v>23</v>
      </c>
      <c r="E60" s="5">
        <v>95621</v>
      </c>
      <c r="F60" s="10">
        <v>42575</v>
      </c>
      <c r="G60" s="5">
        <v>3</v>
      </c>
      <c r="H60" s="5" t="s">
        <v>18</v>
      </c>
      <c r="I60" s="6" t="s">
        <v>141</v>
      </c>
      <c r="J60" s="14">
        <v>3389</v>
      </c>
      <c r="K60" s="5" t="s">
        <v>220</v>
      </c>
      <c r="L60" s="16"/>
      <c r="M60" s="16"/>
    </row>
    <row r="61" spans="1:13" x14ac:dyDescent="0.3">
      <c r="A61" s="4" t="s">
        <v>142</v>
      </c>
      <c r="B61" s="5" t="s">
        <v>10</v>
      </c>
      <c r="C61" s="5" t="s">
        <v>30</v>
      </c>
      <c r="D61" s="5" t="s">
        <v>37</v>
      </c>
      <c r="E61" s="5">
        <v>42262</v>
      </c>
      <c r="F61" s="10">
        <v>42582</v>
      </c>
      <c r="G61" s="5">
        <v>1</v>
      </c>
      <c r="H61" s="5" t="s">
        <v>45</v>
      </c>
      <c r="I61" s="6" t="s">
        <v>143</v>
      </c>
      <c r="J61" s="14">
        <v>3382</v>
      </c>
      <c r="K61" s="5" t="s">
        <v>220</v>
      </c>
      <c r="L61" s="16"/>
      <c r="M61" s="16"/>
    </row>
    <row r="62" spans="1:13" x14ac:dyDescent="0.3">
      <c r="A62" s="4" t="s">
        <v>144</v>
      </c>
      <c r="B62" s="5" t="s">
        <v>40</v>
      </c>
      <c r="C62" s="5" t="s">
        <v>22</v>
      </c>
      <c r="D62" s="5" t="s">
        <v>31</v>
      </c>
      <c r="E62" s="5">
        <v>99621</v>
      </c>
      <c r="F62" s="10">
        <v>42589</v>
      </c>
      <c r="G62" s="5">
        <v>3</v>
      </c>
      <c r="H62" s="5" t="s">
        <v>13</v>
      </c>
      <c r="I62" s="6" t="s">
        <v>145</v>
      </c>
      <c r="J62" s="14">
        <v>3375</v>
      </c>
      <c r="K62" s="5" t="s">
        <v>220</v>
      </c>
      <c r="L62" s="16"/>
      <c r="M62" s="16"/>
    </row>
    <row r="63" spans="1:13" x14ac:dyDescent="0.3">
      <c r="A63" s="4" t="s">
        <v>146</v>
      </c>
      <c r="B63" s="5" t="s">
        <v>21</v>
      </c>
      <c r="C63" s="5" t="s">
        <v>65</v>
      </c>
      <c r="D63" s="5" t="s">
        <v>31</v>
      </c>
      <c r="E63" s="5">
        <v>44682</v>
      </c>
      <c r="F63" s="10">
        <v>42596</v>
      </c>
      <c r="G63" s="5">
        <v>4</v>
      </c>
      <c r="H63" s="5" t="s">
        <v>18</v>
      </c>
      <c r="I63" s="6" t="s">
        <v>88</v>
      </c>
      <c r="J63" s="14">
        <v>3368</v>
      </c>
      <c r="K63" s="5" t="s">
        <v>220</v>
      </c>
      <c r="L63" s="16"/>
      <c r="M63" s="16"/>
    </row>
    <row r="64" spans="1:13" x14ac:dyDescent="0.3">
      <c r="A64" s="4" t="s">
        <v>147</v>
      </c>
      <c r="B64" s="5" t="s">
        <v>36</v>
      </c>
      <c r="C64" s="5" t="s">
        <v>30</v>
      </c>
      <c r="D64" s="5" t="s">
        <v>31</v>
      </c>
      <c r="E64" s="5">
        <v>33483</v>
      </c>
      <c r="F64" s="10">
        <v>42610</v>
      </c>
      <c r="G64" s="5">
        <v>4</v>
      </c>
      <c r="H64" s="5" t="s">
        <v>24</v>
      </c>
      <c r="I64" s="6" t="s">
        <v>148</v>
      </c>
      <c r="J64" s="14">
        <v>3354</v>
      </c>
      <c r="K64" s="5" t="s">
        <v>220</v>
      </c>
      <c r="L64" s="16"/>
      <c r="M64" s="16"/>
    </row>
    <row r="65" spans="1:13" x14ac:dyDescent="0.3">
      <c r="A65" s="4" t="s">
        <v>149</v>
      </c>
      <c r="B65" s="5" t="s">
        <v>40</v>
      </c>
      <c r="C65" s="5" t="s">
        <v>11</v>
      </c>
      <c r="D65" s="5" t="s">
        <v>12</v>
      </c>
      <c r="E65" s="5">
        <v>55303</v>
      </c>
      <c r="F65" s="10">
        <v>42617</v>
      </c>
      <c r="G65" s="5">
        <v>4</v>
      </c>
      <c r="H65" s="5" t="s">
        <v>24</v>
      </c>
      <c r="I65" s="6" t="s">
        <v>66</v>
      </c>
      <c r="J65" s="14">
        <v>3347</v>
      </c>
      <c r="K65" s="5" t="s">
        <v>220</v>
      </c>
      <c r="L65" s="16"/>
      <c r="M65" s="16"/>
    </row>
    <row r="66" spans="1:13" x14ac:dyDescent="0.3">
      <c r="A66" s="4" t="s">
        <v>150</v>
      </c>
      <c r="B66" s="5" t="s">
        <v>27</v>
      </c>
      <c r="C66" s="5"/>
      <c r="D66" s="5" t="s">
        <v>54</v>
      </c>
      <c r="E66" s="5">
        <v>38830</v>
      </c>
      <c r="F66" s="10">
        <v>42631</v>
      </c>
      <c r="G66" s="5">
        <v>3</v>
      </c>
      <c r="H66" s="5" t="s">
        <v>13</v>
      </c>
      <c r="I66" s="6" t="s">
        <v>66</v>
      </c>
      <c r="J66" s="14">
        <v>3333</v>
      </c>
      <c r="K66" s="5" t="s">
        <v>220</v>
      </c>
      <c r="L66" s="16"/>
      <c r="M66" s="16"/>
    </row>
    <row r="67" spans="1:13" x14ac:dyDescent="0.3">
      <c r="A67" s="4" t="s">
        <v>151</v>
      </c>
      <c r="B67" s="5" t="s">
        <v>16</v>
      </c>
      <c r="C67" s="5" t="s">
        <v>11</v>
      </c>
      <c r="D67" s="5" t="s">
        <v>54</v>
      </c>
      <c r="E67" s="5">
        <v>69420</v>
      </c>
      <c r="F67" s="10">
        <v>42645</v>
      </c>
      <c r="G67" s="5">
        <v>1</v>
      </c>
      <c r="H67" s="5" t="s">
        <v>24</v>
      </c>
      <c r="I67" s="6" t="s">
        <v>96</v>
      </c>
      <c r="J67" s="14">
        <v>3319</v>
      </c>
      <c r="K67" s="5" t="s">
        <v>220</v>
      </c>
      <c r="L67" s="16"/>
      <c r="M67" s="16"/>
    </row>
    <row r="68" spans="1:13" x14ac:dyDescent="0.3">
      <c r="A68" s="4" t="s">
        <v>152</v>
      </c>
      <c r="B68" s="5" t="s">
        <v>16</v>
      </c>
      <c r="C68" s="5"/>
      <c r="D68" s="5" t="s">
        <v>23</v>
      </c>
      <c r="E68" s="5">
        <v>76238</v>
      </c>
      <c r="F68" s="10">
        <v>42659</v>
      </c>
      <c r="G68" s="5">
        <v>4</v>
      </c>
      <c r="H68" s="5" t="s">
        <v>24</v>
      </c>
      <c r="I68" s="6" t="s">
        <v>153</v>
      </c>
      <c r="J68" s="14">
        <v>3305</v>
      </c>
      <c r="K68" s="5" t="s">
        <v>220</v>
      </c>
      <c r="L68" s="16"/>
      <c r="M68" s="16"/>
    </row>
    <row r="69" spans="1:13" x14ac:dyDescent="0.3">
      <c r="A69" s="4" t="s">
        <v>154</v>
      </c>
      <c r="B69" s="5" t="s">
        <v>51</v>
      </c>
      <c r="C69" s="5" t="s">
        <v>30</v>
      </c>
      <c r="D69" s="5" t="s">
        <v>31</v>
      </c>
      <c r="E69" s="5">
        <v>33264</v>
      </c>
      <c r="F69" s="10">
        <v>42666</v>
      </c>
      <c r="G69" s="5">
        <v>3</v>
      </c>
      <c r="H69" s="5" t="s">
        <v>18</v>
      </c>
      <c r="I69" s="6" t="s">
        <v>155</v>
      </c>
      <c r="J69" s="14">
        <v>3298</v>
      </c>
      <c r="K69" s="5" t="s">
        <v>220</v>
      </c>
      <c r="L69" s="16"/>
      <c r="M69" s="16"/>
    </row>
    <row r="70" spans="1:13" x14ac:dyDescent="0.3">
      <c r="A70" s="4" t="s">
        <v>156</v>
      </c>
      <c r="B70" s="5" t="s">
        <v>16</v>
      </c>
      <c r="C70" s="5" t="s">
        <v>17</v>
      </c>
      <c r="D70" s="5" t="s">
        <v>54</v>
      </c>
      <c r="E70" s="5">
        <v>96101</v>
      </c>
      <c r="F70" s="10">
        <v>42673</v>
      </c>
      <c r="G70" s="5">
        <v>3</v>
      </c>
      <c r="H70" s="5" t="s">
        <v>13</v>
      </c>
      <c r="I70" s="6" t="s">
        <v>157</v>
      </c>
      <c r="J70" s="14">
        <v>3291</v>
      </c>
      <c r="K70" s="5" t="s">
        <v>220</v>
      </c>
      <c r="L70" s="16"/>
      <c r="M70" s="16"/>
    </row>
    <row r="71" spans="1:13" x14ac:dyDescent="0.3">
      <c r="A71" s="4" t="s">
        <v>158</v>
      </c>
      <c r="B71" s="5" t="s">
        <v>27</v>
      </c>
      <c r="C71" s="5" t="s">
        <v>17</v>
      </c>
      <c r="D71" s="5" t="s">
        <v>23</v>
      </c>
      <c r="E71" s="5">
        <v>72939</v>
      </c>
      <c r="F71" s="10">
        <v>42680</v>
      </c>
      <c r="G71" s="5">
        <v>3</v>
      </c>
      <c r="H71" s="5" t="s">
        <v>45</v>
      </c>
      <c r="I71" s="6" t="s">
        <v>159</v>
      </c>
      <c r="J71" s="14">
        <v>3284</v>
      </c>
      <c r="K71" s="5" t="s">
        <v>220</v>
      </c>
      <c r="L71" s="16"/>
      <c r="M71" s="16"/>
    </row>
    <row r="72" spans="1:13" x14ac:dyDescent="0.3">
      <c r="A72" s="4" t="s">
        <v>160</v>
      </c>
      <c r="B72" s="5" t="s">
        <v>40</v>
      </c>
      <c r="C72" s="5" t="s">
        <v>11</v>
      </c>
      <c r="D72" s="5" t="s">
        <v>12</v>
      </c>
      <c r="E72" s="5">
        <v>89333</v>
      </c>
      <c r="F72" s="10">
        <v>42687</v>
      </c>
      <c r="G72" s="5">
        <v>1</v>
      </c>
      <c r="H72" s="5" t="s">
        <v>24</v>
      </c>
      <c r="I72" s="6" t="s">
        <v>161</v>
      </c>
      <c r="J72" s="14">
        <v>3277</v>
      </c>
      <c r="K72" s="5" t="s">
        <v>220</v>
      </c>
      <c r="L72" s="16"/>
      <c r="M72" s="16"/>
    </row>
    <row r="73" spans="1:13" x14ac:dyDescent="0.3">
      <c r="A73" s="4" t="s">
        <v>162</v>
      </c>
      <c r="B73" s="5" t="s">
        <v>51</v>
      </c>
      <c r="C73" s="5" t="s">
        <v>30</v>
      </c>
      <c r="D73" s="5" t="s">
        <v>54</v>
      </c>
      <c r="E73" s="5">
        <v>70470</v>
      </c>
      <c r="F73" s="10">
        <v>42694</v>
      </c>
      <c r="G73" s="5">
        <v>3</v>
      </c>
      <c r="H73" s="5" t="s">
        <v>24</v>
      </c>
      <c r="I73" s="6" t="s">
        <v>163</v>
      </c>
      <c r="J73" s="14">
        <v>3270</v>
      </c>
      <c r="K73" s="5" t="s">
        <v>220</v>
      </c>
      <c r="L73" s="16"/>
      <c r="M73" s="16"/>
    </row>
    <row r="74" spans="1:13" x14ac:dyDescent="0.3">
      <c r="A74" s="4" t="s">
        <v>164</v>
      </c>
      <c r="B74" s="5" t="s">
        <v>10</v>
      </c>
      <c r="C74" s="5" t="s">
        <v>65</v>
      </c>
      <c r="D74" s="5" t="s">
        <v>23</v>
      </c>
      <c r="E74" s="5">
        <v>70096</v>
      </c>
      <c r="F74" s="10">
        <v>42701</v>
      </c>
      <c r="G74" s="5">
        <v>4</v>
      </c>
      <c r="H74" s="5" t="s">
        <v>24</v>
      </c>
      <c r="I74" s="6" t="s">
        <v>165</v>
      </c>
      <c r="J74" s="14">
        <v>3263</v>
      </c>
      <c r="K74" s="5" t="s">
        <v>220</v>
      </c>
      <c r="L74" s="16"/>
      <c r="M74" s="16"/>
    </row>
    <row r="75" spans="1:13" x14ac:dyDescent="0.3">
      <c r="A75" s="4" t="s">
        <v>166</v>
      </c>
      <c r="B75" s="5" t="s">
        <v>51</v>
      </c>
      <c r="C75" s="5" t="s">
        <v>30</v>
      </c>
      <c r="D75" s="5" t="s">
        <v>12</v>
      </c>
      <c r="E75" s="5">
        <v>66503</v>
      </c>
      <c r="F75" s="10">
        <v>42715</v>
      </c>
      <c r="G75" s="5">
        <v>3</v>
      </c>
      <c r="H75" s="5" t="s">
        <v>24</v>
      </c>
      <c r="I75" s="6" t="s">
        <v>61</v>
      </c>
      <c r="J75" s="14">
        <v>3249</v>
      </c>
      <c r="K75" s="5" t="s">
        <v>220</v>
      </c>
      <c r="L75" s="16"/>
      <c r="M75" s="16"/>
    </row>
    <row r="76" spans="1:13" x14ac:dyDescent="0.3">
      <c r="A76" s="4" t="s">
        <v>167</v>
      </c>
      <c r="B76" s="5" t="s">
        <v>16</v>
      </c>
      <c r="C76" s="5" t="s">
        <v>11</v>
      </c>
      <c r="D76" s="5" t="s">
        <v>12</v>
      </c>
      <c r="E76" s="5">
        <v>42096</v>
      </c>
      <c r="F76" s="10">
        <v>42722</v>
      </c>
      <c r="G76" s="5">
        <v>3</v>
      </c>
      <c r="H76" s="5" t="s">
        <v>18</v>
      </c>
      <c r="I76" s="6" t="s">
        <v>168</v>
      </c>
      <c r="J76" s="14">
        <v>3242</v>
      </c>
      <c r="K76" s="5" t="s">
        <v>220</v>
      </c>
      <c r="L76" s="16"/>
      <c r="M76" s="16"/>
    </row>
    <row r="77" spans="1:13" x14ac:dyDescent="0.3">
      <c r="A77" s="4" t="s">
        <v>169</v>
      </c>
      <c r="B77" s="5" t="s">
        <v>27</v>
      </c>
      <c r="C77" s="5"/>
      <c r="D77" s="5" t="s">
        <v>54</v>
      </c>
      <c r="E77" s="5">
        <v>61556</v>
      </c>
      <c r="F77" s="10">
        <v>42736</v>
      </c>
      <c r="G77" s="5">
        <v>1</v>
      </c>
      <c r="H77" s="5" t="s">
        <v>45</v>
      </c>
      <c r="I77" s="6" t="s">
        <v>170</v>
      </c>
      <c r="J77" s="14">
        <v>3228</v>
      </c>
      <c r="K77" s="5" t="s">
        <v>220</v>
      </c>
      <c r="L77" s="16"/>
      <c r="M77" s="16"/>
    </row>
    <row r="78" spans="1:13" x14ac:dyDescent="0.3">
      <c r="A78" s="4" t="s">
        <v>171</v>
      </c>
      <c r="B78" s="5" t="s">
        <v>40</v>
      </c>
      <c r="C78" s="5" t="s">
        <v>65</v>
      </c>
      <c r="D78" s="5" t="s">
        <v>54</v>
      </c>
      <c r="E78" s="5">
        <v>86412</v>
      </c>
      <c r="F78" s="10">
        <v>42757</v>
      </c>
      <c r="G78" s="5">
        <v>2</v>
      </c>
      <c r="H78" s="5" t="s">
        <v>18</v>
      </c>
      <c r="I78" s="6" t="s">
        <v>63</v>
      </c>
      <c r="J78" s="14">
        <v>3207</v>
      </c>
      <c r="K78" s="5" t="s">
        <v>220</v>
      </c>
      <c r="L78" s="16"/>
      <c r="M78" s="16"/>
    </row>
    <row r="79" spans="1:13" x14ac:dyDescent="0.3">
      <c r="A79" s="4" t="s">
        <v>172</v>
      </c>
      <c r="B79" s="5" t="s">
        <v>27</v>
      </c>
      <c r="C79" s="5"/>
      <c r="D79" s="5" t="s">
        <v>31</v>
      </c>
      <c r="E79" s="5">
        <v>88850</v>
      </c>
      <c r="F79" s="10">
        <v>42771</v>
      </c>
      <c r="G79" s="5">
        <v>1</v>
      </c>
      <c r="H79" s="5" t="s">
        <v>18</v>
      </c>
      <c r="I79" s="6" t="s">
        <v>173</v>
      </c>
      <c r="J79" s="14">
        <v>3193</v>
      </c>
      <c r="K79" s="5" t="s">
        <v>220</v>
      </c>
      <c r="L79" s="16"/>
      <c r="M79" s="16"/>
    </row>
    <row r="80" spans="1:13" x14ac:dyDescent="0.3">
      <c r="A80" s="4" t="s">
        <v>174</v>
      </c>
      <c r="B80" s="5" t="s">
        <v>36</v>
      </c>
      <c r="C80" s="5" t="s">
        <v>30</v>
      </c>
      <c r="D80" s="5" t="s">
        <v>23</v>
      </c>
      <c r="E80" s="5">
        <v>34306</v>
      </c>
      <c r="F80" s="10">
        <v>42785</v>
      </c>
      <c r="G80" s="5">
        <v>5</v>
      </c>
      <c r="H80" s="5" t="s">
        <v>18</v>
      </c>
      <c r="I80" s="6" t="s">
        <v>123</v>
      </c>
      <c r="J80" s="14">
        <v>3179</v>
      </c>
      <c r="K80" s="5" t="s">
        <v>220</v>
      </c>
      <c r="L80" s="16"/>
      <c r="M80" s="16"/>
    </row>
    <row r="81" spans="1:13" x14ac:dyDescent="0.3">
      <c r="A81" s="4" t="s">
        <v>175</v>
      </c>
      <c r="B81" s="5" t="s">
        <v>10</v>
      </c>
      <c r="C81" s="5" t="s">
        <v>17</v>
      </c>
      <c r="D81" s="5" t="s">
        <v>31</v>
      </c>
      <c r="E81" s="5">
        <v>78330</v>
      </c>
      <c r="F81" s="10">
        <v>42792</v>
      </c>
      <c r="G81" s="5">
        <v>3</v>
      </c>
      <c r="H81" s="5" t="s">
        <v>13</v>
      </c>
      <c r="I81" s="6" t="s">
        <v>165</v>
      </c>
      <c r="J81" s="14">
        <v>3172</v>
      </c>
      <c r="K81" s="5" t="s">
        <v>220</v>
      </c>
      <c r="L81" s="16"/>
      <c r="M81" s="16"/>
    </row>
    <row r="82" spans="1:13" x14ac:dyDescent="0.3">
      <c r="A82" s="4" t="s">
        <v>176</v>
      </c>
      <c r="B82" s="5" t="s">
        <v>16</v>
      </c>
      <c r="C82" s="5" t="s">
        <v>30</v>
      </c>
      <c r="D82" s="5" t="s">
        <v>23</v>
      </c>
      <c r="E82" s="5">
        <v>47653</v>
      </c>
      <c r="F82" s="10">
        <v>42799</v>
      </c>
      <c r="G82" s="5">
        <v>1</v>
      </c>
      <c r="H82" s="5" t="s">
        <v>24</v>
      </c>
      <c r="I82" s="6" t="s">
        <v>177</v>
      </c>
      <c r="J82" s="14">
        <v>3165</v>
      </c>
      <c r="K82" s="5" t="s">
        <v>220</v>
      </c>
      <c r="L82" s="16"/>
      <c r="M82" s="16"/>
    </row>
    <row r="83" spans="1:13" x14ac:dyDescent="0.3">
      <c r="A83" s="4" t="s">
        <v>178</v>
      </c>
      <c r="B83" s="5" t="s">
        <v>10</v>
      </c>
      <c r="C83" s="5" t="s">
        <v>65</v>
      </c>
      <c r="D83" s="5" t="s">
        <v>37</v>
      </c>
      <c r="E83" s="5">
        <v>44627</v>
      </c>
      <c r="F83" s="10">
        <v>42806</v>
      </c>
      <c r="G83" s="5">
        <v>4</v>
      </c>
      <c r="H83" s="5" t="s">
        <v>45</v>
      </c>
      <c r="I83" s="6" t="s">
        <v>115</v>
      </c>
      <c r="J83" s="14">
        <v>3158</v>
      </c>
      <c r="K83" s="5" t="s">
        <v>220</v>
      </c>
      <c r="L83" s="16"/>
      <c r="M83" s="16"/>
    </row>
    <row r="84" spans="1:13" x14ac:dyDescent="0.3">
      <c r="A84" s="4" t="s">
        <v>179</v>
      </c>
      <c r="B84" s="5" t="s">
        <v>51</v>
      </c>
      <c r="C84" s="5" t="s">
        <v>11</v>
      </c>
      <c r="D84" s="5" t="s">
        <v>12</v>
      </c>
      <c r="E84" s="5">
        <v>92343</v>
      </c>
      <c r="F84" s="10">
        <v>42813</v>
      </c>
      <c r="G84" s="5">
        <v>4</v>
      </c>
      <c r="H84" s="5" t="s">
        <v>18</v>
      </c>
      <c r="I84" s="6" t="s">
        <v>66</v>
      </c>
      <c r="J84" s="14">
        <v>3151</v>
      </c>
      <c r="K84" s="5" t="s">
        <v>220</v>
      </c>
      <c r="L84" s="16"/>
      <c r="M84" s="16"/>
    </row>
    <row r="85" spans="1:13" x14ac:dyDescent="0.3">
      <c r="A85" s="4" t="s">
        <v>180</v>
      </c>
      <c r="B85" s="5" t="s">
        <v>51</v>
      </c>
      <c r="C85" s="5" t="s">
        <v>65</v>
      </c>
      <c r="D85" s="5" t="s">
        <v>54</v>
      </c>
      <c r="E85" s="5">
        <v>38837</v>
      </c>
      <c r="F85" s="10">
        <v>42820</v>
      </c>
      <c r="G85" s="5">
        <v>5</v>
      </c>
      <c r="H85" s="5" t="s">
        <v>18</v>
      </c>
      <c r="I85" s="6" t="s">
        <v>123</v>
      </c>
      <c r="J85" s="14">
        <v>3144</v>
      </c>
      <c r="K85" s="5" t="s">
        <v>220</v>
      </c>
      <c r="L85" s="16"/>
      <c r="M85" s="16"/>
    </row>
    <row r="86" spans="1:13" x14ac:dyDescent="0.3">
      <c r="A86" s="4" t="s">
        <v>181</v>
      </c>
      <c r="B86" s="5" t="s">
        <v>36</v>
      </c>
      <c r="C86" s="5" t="s">
        <v>22</v>
      </c>
      <c r="D86" s="5" t="s">
        <v>31</v>
      </c>
      <c r="E86" s="5">
        <v>95032</v>
      </c>
      <c r="F86" s="10">
        <v>42834</v>
      </c>
      <c r="G86" s="5">
        <v>3</v>
      </c>
      <c r="H86" s="5" t="s">
        <v>45</v>
      </c>
      <c r="I86" s="6" t="s">
        <v>182</v>
      </c>
      <c r="J86" s="14">
        <v>3130</v>
      </c>
      <c r="K86" s="5" t="s">
        <v>220</v>
      </c>
      <c r="L86" s="16"/>
      <c r="M86" s="16"/>
    </row>
    <row r="87" spans="1:13" x14ac:dyDescent="0.3">
      <c r="A87" s="4" t="s">
        <v>183</v>
      </c>
      <c r="B87" s="5" t="s">
        <v>10</v>
      </c>
      <c r="C87" s="5" t="s">
        <v>22</v>
      </c>
      <c r="D87" s="5" t="s">
        <v>54</v>
      </c>
      <c r="E87" s="5">
        <v>44358</v>
      </c>
      <c r="F87" s="10">
        <v>42841</v>
      </c>
      <c r="G87" s="5">
        <v>3</v>
      </c>
      <c r="H87" s="5" t="s">
        <v>18</v>
      </c>
      <c r="I87" s="6" t="s">
        <v>61</v>
      </c>
      <c r="J87" s="14">
        <v>3123</v>
      </c>
      <c r="K87" s="5" t="s">
        <v>220</v>
      </c>
      <c r="L87" s="16"/>
      <c r="M87" s="16"/>
    </row>
    <row r="88" spans="1:13" x14ac:dyDescent="0.3">
      <c r="A88" s="4" t="s">
        <v>184</v>
      </c>
      <c r="B88" s="5" t="s">
        <v>36</v>
      </c>
      <c r="C88" s="5" t="s">
        <v>22</v>
      </c>
      <c r="D88" s="5" t="s">
        <v>23</v>
      </c>
      <c r="E88" s="5">
        <v>45676</v>
      </c>
      <c r="F88" s="10">
        <v>42855</v>
      </c>
      <c r="G88" s="5">
        <v>2</v>
      </c>
      <c r="H88" s="5" t="s">
        <v>45</v>
      </c>
      <c r="I88" s="6" t="s">
        <v>185</v>
      </c>
      <c r="J88" s="14">
        <v>3109</v>
      </c>
      <c r="K88" s="5" t="s">
        <v>220</v>
      </c>
      <c r="L88" s="16"/>
      <c r="M88" s="16"/>
    </row>
    <row r="89" spans="1:13" x14ac:dyDescent="0.3">
      <c r="A89" s="4" t="s">
        <v>186</v>
      </c>
      <c r="B89" s="5" t="s">
        <v>51</v>
      </c>
      <c r="C89" s="5" t="s">
        <v>22</v>
      </c>
      <c r="D89" s="5" t="s">
        <v>12</v>
      </c>
      <c r="E89" s="5">
        <v>52036</v>
      </c>
      <c r="F89" s="10">
        <v>42862</v>
      </c>
      <c r="G89" s="5">
        <v>3</v>
      </c>
      <c r="H89" s="5" t="s">
        <v>24</v>
      </c>
      <c r="I89" s="6" t="s">
        <v>187</v>
      </c>
      <c r="J89" s="14">
        <v>3102</v>
      </c>
      <c r="K89" s="5" t="s">
        <v>220</v>
      </c>
      <c r="L89" s="16"/>
      <c r="M89" s="16"/>
    </row>
    <row r="90" spans="1:13" x14ac:dyDescent="0.3">
      <c r="A90" s="4" t="s">
        <v>188</v>
      </c>
      <c r="B90" s="5" t="s">
        <v>27</v>
      </c>
      <c r="C90" s="5"/>
      <c r="D90" s="5" t="s">
        <v>12</v>
      </c>
      <c r="E90" s="5">
        <v>30357</v>
      </c>
      <c r="F90" s="10">
        <v>42869</v>
      </c>
      <c r="G90" s="5">
        <v>5</v>
      </c>
      <c r="H90" s="5" t="s">
        <v>24</v>
      </c>
      <c r="I90" s="6" t="s">
        <v>145</v>
      </c>
      <c r="J90" s="14">
        <v>3095</v>
      </c>
      <c r="K90" s="5" t="s">
        <v>220</v>
      </c>
      <c r="L90" s="16"/>
      <c r="M90" s="16"/>
    </row>
    <row r="91" spans="1:13" x14ac:dyDescent="0.3">
      <c r="A91" s="4" t="s">
        <v>189</v>
      </c>
      <c r="B91" s="5" t="s">
        <v>51</v>
      </c>
      <c r="C91" s="5"/>
      <c r="D91" s="5" t="s">
        <v>12</v>
      </c>
      <c r="E91" s="5">
        <v>71494</v>
      </c>
      <c r="F91" s="10">
        <v>42890</v>
      </c>
      <c r="G91" s="5">
        <v>3</v>
      </c>
      <c r="H91" s="5" t="s">
        <v>24</v>
      </c>
      <c r="I91" s="6" t="s">
        <v>190</v>
      </c>
      <c r="J91" s="14">
        <v>3074</v>
      </c>
      <c r="K91" s="5" t="s">
        <v>220</v>
      </c>
      <c r="L91" s="16"/>
      <c r="M91" s="16"/>
    </row>
    <row r="92" spans="1:13" x14ac:dyDescent="0.3">
      <c r="A92" s="4" t="s">
        <v>191</v>
      </c>
      <c r="B92" s="5" t="s">
        <v>21</v>
      </c>
      <c r="C92" s="5" t="s">
        <v>17</v>
      </c>
      <c r="D92" s="5" t="s">
        <v>23</v>
      </c>
      <c r="E92" s="5">
        <v>91953</v>
      </c>
      <c r="F92" s="10">
        <v>42897</v>
      </c>
      <c r="G92" s="5">
        <v>2</v>
      </c>
      <c r="H92" s="5" t="s">
        <v>24</v>
      </c>
      <c r="I92" s="6" t="s">
        <v>74</v>
      </c>
      <c r="J92" s="14">
        <v>3067</v>
      </c>
      <c r="K92" s="5" t="s">
        <v>220</v>
      </c>
      <c r="L92" s="16"/>
      <c r="M92" s="16"/>
    </row>
    <row r="93" spans="1:13" x14ac:dyDescent="0.3">
      <c r="A93" s="4" t="s">
        <v>192</v>
      </c>
      <c r="B93" s="5" t="s">
        <v>36</v>
      </c>
      <c r="C93" s="5" t="s">
        <v>22</v>
      </c>
      <c r="D93" s="5" t="s">
        <v>23</v>
      </c>
      <c r="E93" s="5">
        <v>30402</v>
      </c>
      <c r="F93" s="10">
        <v>42904</v>
      </c>
      <c r="G93" s="5">
        <v>1</v>
      </c>
      <c r="H93" s="5" t="s">
        <v>45</v>
      </c>
      <c r="I93" s="6" t="s">
        <v>193</v>
      </c>
      <c r="J93" s="14">
        <v>3060</v>
      </c>
      <c r="K93" s="5" t="s">
        <v>220</v>
      </c>
      <c r="L93" s="16"/>
      <c r="M93" s="16"/>
    </row>
    <row r="94" spans="1:13" x14ac:dyDescent="0.3">
      <c r="A94" s="4" t="s">
        <v>194</v>
      </c>
      <c r="B94" s="5" t="s">
        <v>51</v>
      </c>
      <c r="C94" s="5"/>
      <c r="D94" s="5" t="s">
        <v>37</v>
      </c>
      <c r="E94" s="5">
        <v>62994</v>
      </c>
      <c r="F94" s="10">
        <v>42911</v>
      </c>
      <c r="G94" s="5">
        <v>3</v>
      </c>
      <c r="H94" s="5" t="s">
        <v>45</v>
      </c>
      <c r="I94" s="6" t="s">
        <v>90</v>
      </c>
      <c r="J94" s="14">
        <v>3053</v>
      </c>
      <c r="K94" s="5" t="s">
        <v>220</v>
      </c>
      <c r="L94" s="16"/>
      <c r="M94" s="16"/>
    </row>
    <row r="95" spans="1:13" x14ac:dyDescent="0.3">
      <c r="A95" s="4" t="s">
        <v>195</v>
      </c>
      <c r="B95" s="5" t="s">
        <v>40</v>
      </c>
      <c r="C95" s="5" t="s">
        <v>65</v>
      </c>
      <c r="D95" s="5" t="s">
        <v>12</v>
      </c>
      <c r="E95" s="5">
        <v>34402</v>
      </c>
      <c r="F95" s="10">
        <v>42925</v>
      </c>
      <c r="G95" s="5">
        <v>3</v>
      </c>
      <c r="H95" s="5" t="s">
        <v>13</v>
      </c>
      <c r="I95" s="6" t="s">
        <v>86</v>
      </c>
      <c r="J95" s="14">
        <v>3039</v>
      </c>
      <c r="K95" s="5" t="s">
        <v>220</v>
      </c>
      <c r="L95" s="16"/>
      <c r="M95" s="16"/>
    </row>
    <row r="96" spans="1:13" x14ac:dyDescent="0.3">
      <c r="A96" s="4" t="s">
        <v>196</v>
      </c>
      <c r="B96" s="5" t="s">
        <v>10</v>
      </c>
      <c r="C96" s="5" t="s">
        <v>11</v>
      </c>
      <c r="D96" s="5" t="s">
        <v>23</v>
      </c>
      <c r="E96" s="5">
        <v>38678</v>
      </c>
      <c r="F96" s="10">
        <v>42932</v>
      </c>
      <c r="G96" s="5">
        <v>3</v>
      </c>
      <c r="H96" s="5" t="s">
        <v>13</v>
      </c>
      <c r="I96" s="6" t="s">
        <v>197</v>
      </c>
      <c r="J96" s="14">
        <v>3032</v>
      </c>
      <c r="K96" s="5" t="s">
        <v>220</v>
      </c>
      <c r="L96" s="16"/>
      <c r="M96" s="16"/>
    </row>
    <row r="97" spans="1:13" x14ac:dyDescent="0.3">
      <c r="A97" s="4" t="s">
        <v>198</v>
      </c>
      <c r="B97" s="5" t="s">
        <v>36</v>
      </c>
      <c r="C97" s="5" t="s">
        <v>11</v>
      </c>
      <c r="D97" s="5" t="s">
        <v>12</v>
      </c>
      <c r="E97" s="5">
        <v>45758</v>
      </c>
      <c r="F97" s="10">
        <v>42939</v>
      </c>
      <c r="G97" s="5">
        <v>3</v>
      </c>
      <c r="H97" s="5" t="s">
        <v>45</v>
      </c>
      <c r="I97" s="6" t="s">
        <v>199</v>
      </c>
      <c r="J97" s="14">
        <v>3025</v>
      </c>
      <c r="K97" s="5" t="s">
        <v>220</v>
      </c>
      <c r="L97" s="16"/>
      <c r="M97" s="16"/>
    </row>
    <row r="98" spans="1:13" x14ac:dyDescent="0.3">
      <c r="A98" s="4" t="s">
        <v>200</v>
      </c>
      <c r="B98" s="5" t="s">
        <v>10</v>
      </c>
      <c r="C98" s="5" t="s">
        <v>65</v>
      </c>
      <c r="D98" s="5" t="s">
        <v>31</v>
      </c>
      <c r="E98" s="5">
        <v>62476</v>
      </c>
      <c r="F98" s="10">
        <v>42946</v>
      </c>
      <c r="G98" s="5">
        <v>1</v>
      </c>
      <c r="H98" s="5" t="s">
        <v>13</v>
      </c>
      <c r="I98" s="6" t="s">
        <v>107</v>
      </c>
      <c r="J98" s="14">
        <v>3018</v>
      </c>
      <c r="K98" s="5" t="s">
        <v>220</v>
      </c>
      <c r="L98" s="16"/>
      <c r="M98" s="16"/>
    </row>
    <row r="99" spans="1:13" x14ac:dyDescent="0.3">
      <c r="A99" s="4" t="s">
        <v>201</v>
      </c>
      <c r="B99" s="5" t="s">
        <v>48</v>
      </c>
      <c r="C99" s="5" t="s">
        <v>30</v>
      </c>
      <c r="D99" s="5" t="s">
        <v>37</v>
      </c>
      <c r="E99" s="5">
        <v>39280</v>
      </c>
      <c r="F99" s="10">
        <v>42953</v>
      </c>
      <c r="G99" s="5">
        <v>3</v>
      </c>
      <c r="H99" s="5" t="s">
        <v>18</v>
      </c>
      <c r="I99" s="6" t="s">
        <v>80</v>
      </c>
      <c r="J99" s="14">
        <v>3011</v>
      </c>
      <c r="K99" s="5" t="s">
        <v>220</v>
      </c>
      <c r="L99" s="16"/>
      <c r="M99" s="16"/>
    </row>
    <row r="100" spans="1:13" x14ac:dyDescent="0.3">
      <c r="A100" s="4" t="s">
        <v>202</v>
      </c>
      <c r="B100" s="5" t="s">
        <v>27</v>
      </c>
      <c r="C100" s="5" t="s">
        <v>17</v>
      </c>
      <c r="D100" s="5" t="s">
        <v>31</v>
      </c>
      <c r="E100" s="5">
        <v>60335</v>
      </c>
      <c r="F100" s="10">
        <v>42960</v>
      </c>
      <c r="G100" s="5">
        <v>4</v>
      </c>
      <c r="H100" s="5" t="s">
        <v>13</v>
      </c>
      <c r="I100" s="6" t="s">
        <v>100</v>
      </c>
      <c r="J100" s="14">
        <v>3004</v>
      </c>
      <c r="K100" s="5" t="s">
        <v>220</v>
      </c>
      <c r="L100" s="16"/>
      <c r="M100" s="16"/>
    </row>
    <row r="101" spans="1:13" x14ac:dyDescent="0.3">
      <c r="A101" s="4" t="s">
        <v>203</v>
      </c>
      <c r="B101" s="5" t="s">
        <v>36</v>
      </c>
      <c r="C101" s="5" t="s">
        <v>11</v>
      </c>
      <c r="D101" s="5" t="s">
        <v>12</v>
      </c>
      <c r="E101" s="5">
        <v>84968</v>
      </c>
      <c r="F101" s="10">
        <v>42967</v>
      </c>
      <c r="G101" s="5">
        <v>3</v>
      </c>
      <c r="H101" s="5" t="s">
        <v>45</v>
      </c>
      <c r="I101" s="6" t="s">
        <v>204</v>
      </c>
      <c r="J101" s="14">
        <v>2997</v>
      </c>
      <c r="K101" s="5" t="s">
        <v>220</v>
      </c>
      <c r="L101" s="16"/>
      <c r="M101" s="16"/>
    </row>
    <row r="102" spans="1:13" x14ac:dyDescent="0.3">
      <c r="A102" s="4" t="s">
        <v>205</v>
      </c>
      <c r="B102" s="5" t="s">
        <v>36</v>
      </c>
      <c r="C102" s="5" t="s">
        <v>65</v>
      </c>
      <c r="D102" s="5" t="s">
        <v>54</v>
      </c>
      <c r="E102" s="5">
        <v>84750</v>
      </c>
      <c r="F102" s="10">
        <v>42974</v>
      </c>
      <c r="G102" s="5">
        <v>4</v>
      </c>
      <c r="H102" s="5" t="s">
        <v>18</v>
      </c>
      <c r="I102" s="6" t="s">
        <v>49</v>
      </c>
      <c r="J102" s="14">
        <v>2990</v>
      </c>
      <c r="K102" s="5" t="s">
        <v>220</v>
      </c>
      <c r="L102" s="16"/>
      <c r="M102" s="16"/>
    </row>
    <row r="103" spans="1:13" x14ac:dyDescent="0.3">
      <c r="A103" s="4" t="s">
        <v>206</v>
      </c>
      <c r="B103" s="5" t="s">
        <v>27</v>
      </c>
      <c r="C103" s="5" t="s">
        <v>65</v>
      </c>
      <c r="D103" s="5" t="s">
        <v>23</v>
      </c>
      <c r="E103" s="5">
        <v>66882</v>
      </c>
      <c r="F103" s="10">
        <v>42995</v>
      </c>
      <c r="G103" s="5">
        <v>5</v>
      </c>
      <c r="H103" s="5" t="s">
        <v>13</v>
      </c>
      <c r="I103" s="6" t="s">
        <v>70</v>
      </c>
      <c r="J103" s="14">
        <v>2969</v>
      </c>
      <c r="K103" s="5" t="s">
        <v>220</v>
      </c>
      <c r="L103" s="16"/>
      <c r="M103" s="16"/>
    </row>
    <row r="104" spans="1:13" x14ac:dyDescent="0.3">
      <c r="A104" s="4" t="s">
        <v>207</v>
      </c>
      <c r="B104" s="5" t="s">
        <v>36</v>
      </c>
      <c r="C104" s="5" t="s">
        <v>22</v>
      </c>
      <c r="D104" s="5" t="s">
        <v>37</v>
      </c>
      <c r="E104" s="5">
        <v>91620</v>
      </c>
      <c r="F104" s="10">
        <v>43009</v>
      </c>
      <c r="G104" s="5">
        <v>3</v>
      </c>
      <c r="H104" s="5" t="s">
        <v>45</v>
      </c>
      <c r="I104" s="6" t="s">
        <v>208</v>
      </c>
      <c r="J104" s="14">
        <v>2955</v>
      </c>
      <c r="K104" s="5" t="s">
        <v>220</v>
      </c>
      <c r="L104" s="16"/>
      <c r="M104" s="16"/>
    </row>
    <row r="105" spans="1:13" x14ac:dyDescent="0.3">
      <c r="A105" s="4" t="s">
        <v>209</v>
      </c>
      <c r="B105" s="5" t="s">
        <v>40</v>
      </c>
      <c r="C105" s="5" t="s">
        <v>22</v>
      </c>
      <c r="D105" s="5" t="s">
        <v>54</v>
      </c>
      <c r="E105" s="5">
        <v>35627</v>
      </c>
      <c r="F105" s="10">
        <v>43023</v>
      </c>
      <c r="G105" s="5">
        <v>5</v>
      </c>
      <c r="H105" s="5" t="s">
        <v>18</v>
      </c>
      <c r="I105" s="6" t="s">
        <v>197</v>
      </c>
      <c r="J105" s="14">
        <v>2941</v>
      </c>
      <c r="K105" s="5" t="s">
        <v>220</v>
      </c>
      <c r="L105" s="16"/>
      <c r="M105" s="16"/>
    </row>
    <row r="106" spans="1:13" x14ac:dyDescent="0.3">
      <c r="A106" s="4" t="s">
        <v>210</v>
      </c>
      <c r="B106" s="5" t="s">
        <v>21</v>
      </c>
      <c r="C106" s="5" t="s">
        <v>65</v>
      </c>
      <c r="D106" s="5" t="s">
        <v>23</v>
      </c>
      <c r="E106" s="5">
        <v>57141</v>
      </c>
      <c r="F106" s="10">
        <v>43030</v>
      </c>
      <c r="G106" s="5">
        <v>2</v>
      </c>
      <c r="H106" s="5" t="s">
        <v>45</v>
      </c>
      <c r="I106" s="6" t="s">
        <v>204</v>
      </c>
      <c r="J106" s="14">
        <v>2934</v>
      </c>
      <c r="K106" s="5" t="s">
        <v>220</v>
      </c>
      <c r="L106" s="16"/>
      <c r="M106" s="16"/>
    </row>
    <row r="107" spans="1:13" x14ac:dyDescent="0.3">
      <c r="A107" s="4" t="s">
        <v>211</v>
      </c>
      <c r="B107" s="5" t="s">
        <v>51</v>
      </c>
      <c r="C107" s="5" t="s">
        <v>22</v>
      </c>
      <c r="D107" s="5" t="s">
        <v>54</v>
      </c>
      <c r="E107" s="5">
        <v>65270</v>
      </c>
      <c r="F107" s="10">
        <v>43037</v>
      </c>
      <c r="G107" s="5">
        <v>1</v>
      </c>
      <c r="H107" s="5" t="s">
        <v>45</v>
      </c>
      <c r="I107" s="6" t="s">
        <v>212</v>
      </c>
      <c r="J107" s="14">
        <v>2927</v>
      </c>
      <c r="K107" s="5" t="s">
        <v>220</v>
      </c>
      <c r="L107" s="16"/>
      <c r="M107" s="16"/>
    </row>
    <row r="108" spans="1:13" x14ac:dyDescent="0.3">
      <c r="A108" s="4" t="s">
        <v>213</v>
      </c>
      <c r="B108" s="5" t="s">
        <v>51</v>
      </c>
      <c r="C108" s="5"/>
      <c r="D108" s="5" t="s">
        <v>37</v>
      </c>
      <c r="E108" s="5">
        <v>67335</v>
      </c>
      <c r="F108" s="10">
        <v>43044</v>
      </c>
      <c r="G108" s="5">
        <v>1</v>
      </c>
      <c r="H108" s="5" t="s">
        <v>13</v>
      </c>
      <c r="I108" s="6" t="s">
        <v>214</v>
      </c>
      <c r="J108" s="14">
        <v>2920</v>
      </c>
      <c r="K108" s="5" t="s">
        <v>220</v>
      </c>
      <c r="L108" s="16"/>
      <c r="M108" s="16"/>
    </row>
    <row r="109" spans="1:13" x14ac:dyDescent="0.3">
      <c r="A109" s="7" t="s">
        <v>215</v>
      </c>
      <c r="B109" s="8" t="s">
        <v>40</v>
      </c>
      <c r="C109" s="8" t="s">
        <v>65</v>
      </c>
      <c r="D109" s="8" t="s">
        <v>31</v>
      </c>
      <c r="E109" s="8">
        <v>98475</v>
      </c>
      <c r="F109" s="11">
        <v>43051</v>
      </c>
      <c r="G109" s="8">
        <v>5</v>
      </c>
      <c r="H109" s="8" t="s">
        <v>13</v>
      </c>
      <c r="I109" s="9" t="s">
        <v>216</v>
      </c>
      <c r="J109" s="14">
        <v>2913</v>
      </c>
      <c r="K109" s="5" t="s">
        <v>220</v>
      </c>
      <c r="L109" s="16"/>
      <c r="M109" s="16"/>
    </row>
  </sheetData>
  <mergeCells count="3">
    <mergeCell ref="M2:N2"/>
    <mergeCell ref="M3:N3"/>
    <mergeCell ref="M4:N4"/>
  </mergeCells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52040-F372-4928-A102-AF4ECF4E01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2025-11-02T20:25:01Z</dcterms:created>
  <dcterms:modified xsi:type="dcterms:W3CDTF">2025-11-02T20:51:37Z</dcterms:modified>
</cp:coreProperties>
</file>