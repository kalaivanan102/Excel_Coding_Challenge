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8_{8CAFFB0E-38D0-4D9D-9C2C-40F83ACDC106}" xr6:coauthVersionLast="47" xr6:coauthVersionMax="47" xr10:uidLastSave="{00000000-0000-0000-0000-000000000000}"/>
  <bookViews>
    <workbookView xWindow="-108" yWindow="-108" windowWidth="23256" windowHeight="12456" activeTab="1" xr2:uid="{7E004096-89F1-4505-BF84-0A87B8CDA83E}"/>
  </bookViews>
  <sheets>
    <sheet name="Sheet1" sheetId="1" r:id="rId1"/>
    <sheet name="VLOOKUP" sheetId="2" r:id="rId2"/>
  </sheets>
  <definedNames>
    <definedName name="ExternalData_1" localSheetId="0" hidden="1">Sheet1!$A$1:$I$109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2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4" i="2"/>
  <c r="D3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9C1C7-2C9E-4520-B66A-3BF971A7CB1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<sst xmlns="http://schemas.openxmlformats.org/spreadsheetml/2006/main" count="756" uniqueCount="220">
  <si>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</si>
  <si>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</si>
  <si>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</si>
  <si>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</si>
  <si>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</si>
  <si>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</si>
  <si>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</si>
  <si>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</si>
  <si>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</si>
  <si>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</si>
  <si>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</si>
  <si>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</si>
  <si>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</si>
  <si>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</si>
  <si>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</si>
  <si>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</si>
  <si>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</si>
  <si>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</si>
  <si>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Female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</si>
  <si>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</si>
  <si>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</si>
  <si>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</si>
  <si>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</si>
  <si>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</si>
  <si>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</si>
  <si>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</si>
  <si>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</si>
  <si>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</si>
  <si>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</si>
  <si>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</si>
  <si>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</si>
  <si>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</si>
  <si>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user24@example.com</t>
  </si>
  <si>
    <t>EMP1008</t>
  </si>
  <si>
    <t>user25@example.com</t>
  </si>
  <si>
    <t>EMP1009</t>
  </si>
  <si>
    <t>Chris Lee</t>
  </si>
  <si>
    <t>UK</t>
  </si>
  <si>
    <t>user153@example.com</t>
  </si>
  <si>
    <t>EMP1010</t>
  </si>
  <si>
    <t>Sam Wilson</t>
  </si>
  <si>
    <t>user18@example.com</t>
  </si>
  <si>
    <t>EMP1011</t>
  </si>
  <si>
    <t>user1@example.com</t>
  </si>
  <si>
    <t>EMP1013</t>
  </si>
  <si>
    <t>MALE</t>
  </si>
  <si>
    <t>user180@example.com</t>
  </si>
  <si>
    <t>EMP1015</t>
  </si>
  <si>
    <t>UNKNOWN</t>
  </si>
  <si>
    <t>user3@example.com</t>
  </si>
  <si>
    <t>EMP1016</t>
  </si>
  <si>
    <t>Bob Johnson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</si>
  <si>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</si>
  <si>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</si>
  <si>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</si>
  <si>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</si>
  <si>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</si>
  <si>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</si>
  <si>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</si>
  <si>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</si>
  <si>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</si>
  <si>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</si>
  <si>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EMP1022</t>
  </si>
  <si>
    <t>user128@example.com</t>
  </si>
  <si>
    <t>EMP1023</t>
  </si>
  <si>
    <t>Marketing</t>
  </si>
  <si>
    <t>user149@example.com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</si>
  <si>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</si>
  <si>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</si>
  <si>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</si>
  <si>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</si>
  <si>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</si>
  <si>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</si>
  <si>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</si>
  <si>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</si>
  <si>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EMP1031</t>
  </si>
  <si>
    <t>user143@example.com</t>
  </si>
  <si>
    <t>EMP1033</t>
  </si>
  <si>
    <t>user136@example.com</t>
  </si>
  <si>
    <t>EMP1034</t>
  </si>
  <si>
    <t>user198@example.com</t>
  </si>
  <si>
    <t>EMP1036</t>
  </si>
  <si>
    <t>user31@example.com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</si>
  <si>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</si>
  <si>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</si>
  <si>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</si>
  <si>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</si>
  <si>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</si>
  <si>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</si>
  <si>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</si>
  <si>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</si>
  <si>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</si>
  <si>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</si>
  <si>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EMP1046</t>
  </si>
  <si>
    <t>user199@example.com</t>
  </si>
  <si>
    <t>EMP1047</t>
  </si>
  <si>
    <t>user43@example.com</t>
  </si>
  <si>
    <t>EMP1049</t>
  </si>
  <si>
    <t>user89@example.com</t>
  </si>
  <si>
    <t>EMP1051</t>
  </si>
  <si>
    <t>user59@example.com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</si>
  <si>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</si>
  <si>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</si>
  <si>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</si>
  <si>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</si>
  <si>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</si>
  <si>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</si>
  <si>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</si>
  <si>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</si>
  <si>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EMP1059</t>
  </si>
  <si>
    <t>user20@example.com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</si>
  <si>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</si>
  <si>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</si>
  <si>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</si>
  <si>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</si>
  <si>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</si>
  <si>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</si>
  <si>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</si>
  <si>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</si>
  <si>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</si>
  <si>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</si>
  <si>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</si>
  <si>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</si>
  <si>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</si>
  <si>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</si>
  <si>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user77@example.com</t>
  </si>
  <si>
    <t>EMP1069</t>
  </si>
  <si>
    <t>user65@example.com</t>
  </si>
  <si>
    <t>EMP1071</t>
  </si>
  <si>
    <t>user142@example.com</t>
  </si>
  <si>
    <t>EMP1072</t>
  </si>
  <si>
    <t>EMP1073</t>
  </si>
  <si>
    <t>EMP1074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</si>
  <si>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</si>
  <si>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</si>
  <si>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</si>
  <si>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</si>
  <si>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</si>
  <si>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</si>
  <si>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</si>
  <si>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</si>
  <si>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</si>
  <si>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</si>
  <si>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</si>
  <si>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</si>
  <si>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</si>
  <si>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</si>
  <si>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EMP1086</t>
  </si>
  <si>
    <t>user177@example.com</t>
  </si>
  <si>
    <t>EMP1087</t>
  </si>
  <si>
    <t>EMP1089</t>
  </si>
  <si>
    <t>EMP1091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</si>
  <si>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</si>
  <si>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</si>
  <si>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</si>
  <si>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</si>
  <si>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</si>
  <si>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</si>
  <si>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</si>
  <si>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</si>
  <si>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</si>
  <si>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</si>
  <si>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</si>
  <si>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</si>
  <si>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</si>
  <si>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</si>
  <si>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EMP1101</t>
  </si>
  <si>
    <t>EMP1102</t>
  </si>
  <si>
    <t>user54@example.com</t>
  </si>
  <si>
    <t>EMP1104</t>
  </si>
  <si>
    <t>user40@example.com</t>
  </si>
  <si>
    <t>EMP1107</t>
  </si>
  <si>
    <t>EMP1109</t>
  </si>
  <si>
    <t>user174@example.com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</si>
  <si>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</si>
  <si>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</si>
  <si>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</si>
  <si>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</si>
  <si>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</si>
  <si>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</si>
  <si>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</si>
  <si>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EMP1118</t>
  </si>
  <si>
    <t>user23@example.com</t>
  </si>
  <si>
    <t>EMP1119</t>
  </si>
  <si>
    <t>EMP1121</t>
  </si>
  <si>
    <t>user132@example.com</t>
  </si>
  <si>
    <t>EMP1122</t>
  </si>
  <si>
    <t>user171@example.com</t>
  </si>
  <si>
    <t>EMP1123</t>
  </si>
  <si>
    <t>EMP1126</t>
  </si>
  <si>
    <t>user100@example.com</t>
  </si>
  <si>
    <t>EMP1127</t>
  </si>
  <si>
    <t>EMP1128</t>
  </si>
  <si>
    <t>user167@example.com</t>
  </si>
  <si>
    <t>EMP1129</t>
  </si>
  <si>
    <t>EMP1131</t>
  </si>
  <si>
    <t>EMP1132</t>
  </si>
  <si>
    <t>user188@example.com</t>
  </si>
  <si>
    <t>EMP1133</t>
  </si>
  <si>
    <t>user44@example.com</t>
  </si>
  <si>
    <t>EMP1134</t>
  </si>
  <si>
    <t>EMP1135</t>
  </si>
  <si>
    <t>EMP1136</t>
  </si>
  <si>
    <t>EMP1137</t>
  </si>
  <si>
    <t>user165@example.com</t>
  </si>
  <si>
    <t>EMP1138</t>
  </si>
  <si>
    <t>EMP1141</t>
  </si>
  <si>
    <t>EMP1143</t>
  </si>
  <si>
    <t>user114@example.com</t>
  </si>
  <si>
    <t>EMP1145</t>
  </si>
  <si>
    <t>EMP1146</t>
  </si>
  <si>
    <t>EMP1147</t>
  </si>
  <si>
    <t>user163@example.com</t>
  </si>
  <si>
    <t>EMP1148</t>
  </si>
  <si>
    <t>user112@example.com</t>
  </si>
  <si>
    <t>EMP1149</t>
  </si>
  <si>
    <t>user30@example.com</t>
  </si>
  <si>
    <t>Day 13 – Lookup &amp; Reference Functions (Part 1)</t>
  </si>
  <si>
    <t>Use: VLOOKUP()</t>
  </si>
  <si>
    <t>Task: Duplicate the dataset using Vlookup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</si>
</sst>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9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2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2" fontId="0" fillId="0" borderId="8" xfId="0" applyNumberFormat="1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" borderId="19" xfId="0" applyFont="1" applyFill="1" applyBorder="1"/>
    <xf numFmtId="0" fontId="0" fillId="0" borderId="19" xfId="0" applyFont="1" applyBorder="1"/>
    <xf numFmtId="0" fontId="0" fillId="0" borderId="20" xfId="0" applyFont="1" applyBorder="1"/>
    <xf numFmtId="0" fontId="3" fillId="2" borderId="18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0" fillId="6" borderId="24" xfId="0" applyFill="1" applyBorder="1"/>
    <xf numFmtId="0" fontId="0" fillId="6" borderId="0" xfId="0" applyFill="1" applyBorder="1"/>
    <xf numFmtId="0" fontId="0" fillId="6" borderId="25" xfId="0" applyFill="1" applyBorder="1"/>
    <xf numFmtId="0" fontId="4" fillId="6" borderId="24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thin">
          <color auto="1"/>
        </left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906AE3-0C91-4D91-9068-36B60B48411E}" autoFormatId="16" applyNumberFormats="0" applyBorderFormats="0" applyFontFormats="0" applyPatternFormats="0" applyAlignmentFormats="0" applyWidthHeightFormats="0">
  <queryTableRefresh nextId="11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C4DD7-7C71-4299-B353-95E4AEDCD132}" name="Table1_1" displayName="Table1_1" ref="A1:I109" tableType="queryTable" totalsRowShown="0" headerRowDxfId="22" headerRowBorderDxfId="20" tableBorderDxfId="21" totalsRowBorderDxfId="19">
  <autoFilter ref="A1:I109" xr:uid="{73FC4DD7-7C71-4299-B353-95E4AEDCD132}"/>
  <tableColumns count="9">
    <tableColumn id="1" xr3:uid="{203BB080-3419-4E81-BC1E-C2122A721339}" uniqueName="1" name="Employee ID" queryTableFieldId="1" dataDxfId="18"/>
    <tableColumn id="2" xr3:uid="{F3A00E08-6602-43CB-B3C7-947A0848962C}" uniqueName="2" name="Name" queryTableFieldId="2" dataDxfId="17"/>
    <tableColumn id="3" xr3:uid="{CEDDA409-5185-44F5-A403-F72048D17ACB}" uniqueName="3" name="Department" queryTableFieldId="3" dataDxfId="16"/>
    <tableColumn id="4" xr3:uid="{8FE16222-001D-477E-8FB6-2769A16061F1}" uniqueName="4" name="Country" queryTableFieldId="4" dataDxfId="15"/>
    <tableColumn id="5" xr3:uid="{83C507CD-7923-401F-B130-940BF6767FE9}" uniqueName="5" name="Salary" queryTableFieldId="5" dataDxfId="14"/>
    <tableColumn id="6" xr3:uid="{143D81D9-20F5-48FE-B43A-6149F217E4AA}" uniqueName="6" name="Date of Joining" queryTableFieldId="6" dataDxfId="13"/>
    <tableColumn id="7" xr3:uid="{81F616AA-F60E-4451-B22D-25D250BC2696}" uniqueName="7" name="Performance Rating" queryTableFieldId="7" dataDxfId="12"/>
    <tableColumn id="8" xr3:uid="{BE200DC7-2055-46D7-B1AC-803D4187313A}" uniqueName="8" name="Gender" queryTableFieldId="8" dataDxfId="11"/>
    <tableColumn id="9" xr3:uid="{C4B050DF-D1BC-4E37-B02D-DACE684BE937}" uniqueName="9" name="Email" queryTableFieldId="9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060F7A-5765-4B36-9C15-225542D4442C}" name="Table2" displayName="Table2" ref="A1:H109" totalsRowShown="0" headerRowDxfId="0" tableBorderDxfId="9">
  <autoFilter ref="A1:H109" xr:uid="{10060F7A-5765-4B36-9C15-225542D4442C}"/>
  <tableColumns count="8">
    <tableColumn id="1" xr3:uid="{20BC8A0E-5D5E-4DEA-85A2-41CD82288808}" name="Employee ID" dataDxfId="1"/>
    <tableColumn id="2" xr3:uid="{22F6BEFD-A130-4197-999B-E1BBA43B4054}" name="Name" dataDxfId="8">
      <calculatedColumnFormula>VLOOKUP(A2,Table1_1[#All],2,FALSE)</calculatedColumnFormula>
    </tableColumn>
    <tableColumn id="3" xr3:uid="{01C4C801-1461-4C66-B7C4-1557B1A23876}" name="Department" dataDxfId="7">
      <calculatedColumnFormula>VLOOKUP($A$2,Table1_1[#All],3,FALSE)</calculatedColumnFormula>
    </tableColumn>
    <tableColumn id="4" xr3:uid="{A7F2C347-3145-4E10-8663-B1A14DBED6B9}" name="Country" dataDxfId="6">
      <calculatedColumnFormula>VLOOKUP($A2,Table1_1[#All],4,FALSE)</calculatedColumnFormula>
    </tableColumn>
    <tableColumn id="5" xr3:uid="{5AE2739C-89AB-4B98-97FD-4926BA62468A}" name="Salary" dataDxfId="5">
      <calculatedColumnFormula>VLOOKUP($A2,Table1_1[#All],5,FALSE)</calculatedColumnFormula>
    </tableColumn>
    <tableColumn id="6" xr3:uid="{A5761781-850C-4E35-A9AF-3252EBABFC41}" name="Performance Rating" dataDxfId="4">
      <calculatedColumnFormula>VLOOKUP($A2,Table1_1[#All],7,FALSE)</calculatedColumnFormula>
    </tableColumn>
    <tableColumn id="7" xr3:uid="{A817999F-25FF-4593-887B-3043ADF4C8AF}" name="Gender" dataDxfId="3">
      <calculatedColumnFormula>VLOOKUP($A2,Table1_1[#All],8,FALSE)</calculatedColumnFormula>
    </tableColumn>
    <tableColumn id="8" xr3:uid="{93C362E5-5058-4CC3-9A5F-14C8F5AB9741}" name="Email" dataDxfId="2">
      <calculatedColumnFormula>VLOOKUP($A2,Table1_1[#All],9,FALSE)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30B9-FFBB-430C-A04E-658DA63CB12D}">
  <dimension ref="A1:I109"/>
  <sheetViews>
    <sheetView workbookViewId="0">
      <selection activeCell="I1" sqref="I1"/>
    </sheetView>
  </sheetViews>
  <sheetFormatPr defaultRowHeight="14.4" x14ac:dyDescent="0.3"/>
  <cols>
    <col min="1" max="1" width="16.77734375" bestFit="1" customWidth="1"/>
    <col min="2" max="2" width="11.33203125" bestFit="1" customWidth="1"/>
    <col min="3" max="3" width="16.33203125" bestFit="1" customWidth="1"/>
    <col min="4" max="4" width="11.5546875" bestFit="1" customWidth="1"/>
    <col min="5" max="5" width="9.6640625" bestFit="1" customWidth="1"/>
    <col min="6" max="6" width="19.109375" bestFit="1" customWidth="1"/>
    <col min="7" max="7" width="24.5546875" bestFit="1" customWidth="1"/>
    <col min="8" max="8" width="11.109375" bestFit="1" customWidth="1"/>
    <col min="9" max="9" width="20.44140625" bestFit="1" customWidth="1"/>
  </cols>
  <sheetData>
    <row r="1" spans="1:9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">
      <c r="A2" s="4" t="s">
        <v>9</v>
      </c>
      <c r="B2" s="5" t="s">
        <v>10</v>
      </c>
      <c r="C2" s="5" t="s">
        <v>11</v>
      </c>
      <c r="D2" s="5" t="s">
        <v>12</v>
      </c>
      <c r="E2" s="5">
        <v>54255</v>
      </c>
      <c r="F2" s="6">
        <v>42015</v>
      </c>
      <c r="G2" s="5">
        <v>1</v>
      </c>
      <c r="H2" s="5" t="s">
        <v>13</v>
      </c>
      <c r="I2" s="7" t="s">
        <v>14</v>
      </c>
    </row>
    <row r="3" spans="1:9" x14ac:dyDescent="0.3">
      <c r="A3" s="4" t="s">
        <v>15</v>
      </c>
      <c r="B3" s="5" t="s">
        <v>16</v>
      </c>
      <c r="C3" s="5" t="s">
        <v>17</v>
      </c>
      <c r="D3" s="5" t="s">
        <v>12</v>
      </c>
      <c r="E3" s="5">
        <v>63184</v>
      </c>
      <c r="F3" s="6">
        <v>42022</v>
      </c>
      <c r="G3" s="5">
        <v>2</v>
      </c>
      <c r="H3" s="5" t="s">
        <v>18</v>
      </c>
      <c r="I3" s="7" t="s">
        <v>19</v>
      </c>
    </row>
    <row r="4" spans="1:9" x14ac:dyDescent="0.3">
      <c r="A4" s="4" t="s">
        <v>20</v>
      </c>
      <c r="B4" s="5" t="s">
        <v>21</v>
      </c>
      <c r="C4" s="5" t="s">
        <v>22</v>
      </c>
      <c r="D4" s="5" t="s">
        <v>23</v>
      </c>
      <c r="E4" s="5">
        <v>94406</v>
      </c>
      <c r="F4" s="6">
        <v>42029</v>
      </c>
      <c r="G4" s="5">
        <v>1</v>
      </c>
      <c r="H4" s="5" t="s">
        <v>24</v>
      </c>
      <c r="I4" s="7" t="s">
        <v>25</v>
      </c>
    </row>
    <row r="5" spans="1:9" x14ac:dyDescent="0.3">
      <c r="A5" s="4" t="s">
        <v>26</v>
      </c>
      <c r="B5" s="5" t="s">
        <v>27</v>
      </c>
      <c r="C5" s="5" t="s">
        <v>22</v>
      </c>
      <c r="D5" s="5" t="s">
        <v>12</v>
      </c>
      <c r="E5" s="5">
        <v>64120</v>
      </c>
      <c r="F5" s="6">
        <v>42036</v>
      </c>
      <c r="G5" s="5">
        <v>1</v>
      </c>
      <c r="H5" s="5" t="s">
        <v>24</v>
      </c>
      <c r="I5" s="7" t="s">
        <v>28</v>
      </c>
    </row>
    <row r="6" spans="1:9" x14ac:dyDescent="0.3">
      <c r="A6" s="4" t="s">
        <v>29</v>
      </c>
      <c r="B6" s="5" t="s">
        <v>16</v>
      </c>
      <c r="C6" s="5" t="s">
        <v>30</v>
      </c>
      <c r="D6" s="5" t="s">
        <v>31</v>
      </c>
      <c r="E6" s="5">
        <v>78421</v>
      </c>
      <c r="F6" s="6">
        <v>42043</v>
      </c>
      <c r="G6" s="5">
        <v>2</v>
      </c>
      <c r="H6" s="5" t="s">
        <v>18</v>
      </c>
      <c r="I6" s="7" t="s">
        <v>32</v>
      </c>
    </row>
    <row r="7" spans="1:9" x14ac:dyDescent="0.3">
      <c r="A7" s="4" t="s">
        <v>33</v>
      </c>
      <c r="B7" s="5" t="s">
        <v>16</v>
      </c>
      <c r="C7" s="5" t="s">
        <v>30</v>
      </c>
      <c r="D7" s="5" t="s">
        <v>12</v>
      </c>
      <c r="E7" s="5">
        <v>97881</v>
      </c>
      <c r="F7" s="6">
        <v>42064</v>
      </c>
      <c r="G7" s="5">
        <v>3</v>
      </c>
      <c r="H7" s="5" t="s">
        <v>18</v>
      </c>
      <c r="I7" s="7" t="s">
        <v>34</v>
      </c>
    </row>
    <row r="8" spans="1:9" x14ac:dyDescent="0.3">
      <c r="A8" s="4" t="s">
        <v>35</v>
      </c>
      <c r="B8" s="5" t="s">
        <v>36</v>
      </c>
      <c r="C8" s="5" t="s">
        <v>11</v>
      </c>
      <c r="D8" s="5" t="s">
        <v>37</v>
      </c>
      <c r="E8" s="5">
        <v>91846</v>
      </c>
      <c r="F8" s="6">
        <v>42071</v>
      </c>
      <c r="G8" s="5">
        <v>3</v>
      </c>
      <c r="H8" s="5" t="s">
        <v>24</v>
      </c>
      <c r="I8" s="7" t="s">
        <v>38</v>
      </c>
    </row>
    <row r="9" spans="1:9" x14ac:dyDescent="0.3">
      <c r="A9" s="4" t="s">
        <v>39</v>
      </c>
      <c r="B9" s="5" t="s">
        <v>40</v>
      </c>
      <c r="C9" s="5" t="s">
        <v>17</v>
      </c>
      <c r="D9" s="5" t="s">
        <v>37</v>
      </c>
      <c r="E9" s="5">
        <v>64247</v>
      </c>
      <c r="F9" s="6">
        <v>42078</v>
      </c>
      <c r="G9" s="5">
        <v>1</v>
      </c>
      <c r="H9" s="5" t="s">
        <v>18</v>
      </c>
      <c r="I9" s="7" t="s">
        <v>41</v>
      </c>
    </row>
    <row r="10" spans="1:9" x14ac:dyDescent="0.3">
      <c r="A10" s="4" t="s">
        <v>42</v>
      </c>
      <c r="B10" s="5" t="s">
        <v>40</v>
      </c>
      <c r="C10" s="5" t="s">
        <v>30</v>
      </c>
      <c r="D10" s="5" t="s">
        <v>23</v>
      </c>
      <c r="E10" s="5">
        <v>91180</v>
      </c>
      <c r="F10" s="6">
        <v>42085</v>
      </c>
      <c r="G10" s="5">
        <v>5</v>
      </c>
      <c r="H10" s="5" t="s">
        <v>24</v>
      </c>
      <c r="I10" s="7" t="s">
        <v>43</v>
      </c>
    </row>
    <row r="11" spans="1:9" x14ac:dyDescent="0.3">
      <c r="A11" s="4" t="s">
        <v>44</v>
      </c>
      <c r="B11" s="5" t="s">
        <v>40</v>
      </c>
      <c r="C11" s="5"/>
      <c r="D11" s="5" t="s">
        <v>31</v>
      </c>
      <c r="E11" s="5">
        <v>62158</v>
      </c>
      <c r="F11" s="6">
        <v>42099</v>
      </c>
      <c r="G11" s="5">
        <v>4</v>
      </c>
      <c r="H11" s="5" t="s">
        <v>45</v>
      </c>
      <c r="I11" s="7" t="s">
        <v>46</v>
      </c>
    </row>
    <row r="12" spans="1:9" x14ac:dyDescent="0.3">
      <c r="A12" s="4" t="s">
        <v>47</v>
      </c>
      <c r="B12" s="5" t="s">
        <v>48</v>
      </c>
      <c r="C12" s="5" t="s">
        <v>30</v>
      </c>
      <c r="D12" s="5" t="s">
        <v>31</v>
      </c>
      <c r="E12" s="5">
        <v>92443</v>
      </c>
      <c r="F12" s="6">
        <v>42113</v>
      </c>
      <c r="G12" s="5">
        <v>3</v>
      </c>
      <c r="H12" s="5" t="s">
        <v>13</v>
      </c>
      <c r="I12" s="7" t="s">
        <v>49</v>
      </c>
    </row>
    <row r="13" spans="1:9" x14ac:dyDescent="0.3">
      <c r="A13" s="4" t="s">
        <v>50</v>
      </c>
      <c r="B13" s="5" t="s">
        <v>51</v>
      </c>
      <c r="C13" s="5"/>
      <c r="D13" s="5" t="s">
        <v>12</v>
      </c>
      <c r="E13" s="5">
        <v>90271</v>
      </c>
      <c r="F13" s="6">
        <v>42120</v>
      </c>
      <c r="G13" s="5">
        <v>3</v>
      </c>
      <c r="H13" s="5" t="s">
        <v>45</v>
      </c>
      <c r="I13" s="7" t="s">
        <v>52</v>
      </c>
    </row>
    <row r="14" spans="1:9" x14ac:dyDescent="0.3">
      <c r="A14" s="4" t="s">
        <v>53</v>
      </c>
      <c r="B14" s="5" t="s">
        <v>27</v>
      </c>
      <c r="C14" s="5" t="s">
        <v>17</v>
      </c>
      <c r="D14" s="5" t="s">
        <v>54</v>
      </c>
      <c r="E14" s="5">
        <v>41341</v>
      </c>
      <c r="F14" s="6">
        <v>42127</v>
      </c>
      <c r="G14" s="5">
        <v>1</v>
      </c>
      <c r="H14" s="5" t="s">
        <v>13</v>
      </c>
      <c r="I14" s="7" t="s">
        <v>55</v>
      </c>
    </row>
    <row r="15" spans="1:9" x14ac:dyDescent="0.3">
      <c r="A15" s="4" t="s">
        <v>56</v>
      </c>
      <c r="B15" s="5" t="s">
        <v>16</v>
      </c>
      <c r="C15" s="5" t="s">
        <v>17</v>
      </c>
      <c r="D15" s="5" t="s">
        <v>37</v>
      </c>
      <c r="E15" s="5">
        <v>73602</v>
      </c>
      <c r="F15" s="6">
        <v>42134</v>
      </c>
      <c r="G15" s="5">
        <v>3</v>
      </c>
      <c r="H15" s="5" t="s">
        <v>18</v>
      </c>
      <c r="I15" s="7" t="s">
        <v>57</v>
      </c>
    </row>
    <row r="16" spans="1:9" x14ac:dyDescent="0.3">
      <c r="A16" s="4" t="s">
        <v>58</v>
      </c>
      <c r="B16" s="5" t="s">
        <v>10</v>
      </c>
      <c r="C16" s="5"/>
      <c r="D16" s="5" t="s">
        <v>31</v>
      </c>
      <c r="E16" s="5">
        <v>67531</v>
      </c>
      <c r="F16" s="6">
        <v>42141</v>
      </c>
      <c r="G16" s="5">
        <v>5</v>
      </c>
      <c r="H16" s="5" t="s">
        <v>18</v>
      </c>
      <c r="I16" s="7" t="s">
        <v>59</v>
      </c>
    </row>
    <row r="17" spans="1:9" x14ac:dyDescent="0.3">
      <c r="A17" s="4" t="s">
        <v>60</v>
      </c>
      <c r="B17" s="5" t="s">
        <v>27</v>
      </c>
      <c r="C17" s="5" t="s">
        <v>11</v>
      </c>
      <c r="D17" s="5" t="s">
        <v>23</v>
      </c>
      <c r="E17" s="5">
        <v>65557</v>
      </c>
      <c r="F17" s="6">
        <v>42148</v>
      </c>
      <c r="G17" s="5">
        <v>2</v>
      </c>
      <c r="H17" s="5" t="s">
        <v>13</v>
      </c>
      <c r="I17" s="7" t="s">
        <v>61</v>
      </c>
    </row>
    <row r="18" spans="1:9" x14ac:dyDescent="0.3">
      <c r="A18" s="4" t="s">
        <v>62</v>
      </c>
      <c r="B18" s="5" t="s">
        <v>10</v>
      </c>
      <c r="C18" s="5" t="s">
        <v>17</v>
      </c>
      <c r="D18" s="5" t="s">
        <v>31</v>
      </c>
      <c r="E18" s="5">
        <v>38333</v>
      </c>
      <c r="F18" s="6">
        <v>42162</v>
      </c>
      <c r="G18" s="5">
        <v>5</v>
      </c>
      <c r="H18" s="5" t="s">
        <v>45</v>
      </c>
      <c r="I18" s="7" t="s">
        <v>63</v>
      </c>
    </row>
    <row r="19" spans="1:9" x14ac:dyDescent="0.3">
      <c r="A19" s="4" t="s">
        <v>64</v>
      </c>
      <c r="B19" s="5" t="s">
        <v>16</v>
      </c>
      <c r="C19" s="5" t="s">
        <v>65</v>
      </c>
      <c r="D19" s="5" t="s">
        <v>37</v>
      </c>
      <c r="E19" s="5">
        <v>36515</v>
      </c>
      <c r="F19" s="6">
        <v>42169</v>
      </c>
      <c r="G19" s="5">
        <v>3</v>
      </c>
      <c r="H19" s="5" t="s">
        <v>24</v>
      </c>
      <c r="I19" s="7" t="s">
        <v>66</v>
      </c>
    </row>
    <row r="20" spans="1:9" x14ac:dyDescent="0.3">
      <c r="A20" s="4" t="s">
        <v>67</v>
      </c>
      <c r="B20" s="5" t="s">
        <v>10</v>
      </c>
      <c r="C20" s="5" t="s">
        <v>22</v>
      </c>
      <c r="D20" s="5" t="s">
        <v>12</v>
      </c>
      <c r="E20" s="5">
        <v>76518</v>
      </c>
      <c r="F20" s="6">
        <v>42190</v>
      </c>
      <c r="G20" s="5">
        <v>2</v>
      </c>
      <c r="H20" s="5" t="s">
        <v>18</v>
      </c>
      <c r="I20" s="7" t="s">
        <v>68</v>
      </c>
    </row>
    <row r="21" spans="1:9" x14ac:dyDescent="0.3">
      <c r="A21" s="4" t="s">
        <v>69</v>
      </c>
      <c r="B21" s="5" t="s">
        <v>16</v>
      </c>
      <c r="C21" s="5" t="s">
        <v>30</v>
      </c>
      <c r="D21" s="5" t="s">
        <v>37</v>
      </c>
      <c r="E21" s="5">
        <v>41448</v>
      </c>
      <c r="F21" s="6">
        <v>42197</v>
      </c>
      <c r="G21" s="5">
        <v>3</v>
      </c>
      <c r="H21" s="5" t="s">
        <v>13</v>
      </c>
      <c r="I21" s="7" t="s">
        <v>70</v>
      </c>
    </row>
    <row r="22" spans="1:9" x14ac:dyDescent="0.3">
      <c r="A22" s="4" t="s">
        <v>71</v>
      </c>
      <c r="B22" s="5" t="s">
        <v>21</v>
      </c>
      <c r="C22" s="5" t="s">
        <v>11</v>
      </c>
      <c r="D22" s="5" t="s">
        <v>37</v>
      </c>
      <c r="E22" s="5">
        <v>49282</v>
      </c>
      <c r="F22" s="6">
        <v>42204</v>
      </c>
      <c r="G22" s="5">
        <v>2</v>
      </c>
      <c r="H22" s="5" t="s">
        <v>18</v>
      </c>
      <c r="I22" s="7" t="s">
        <v>72</v>
      </c>
    </row>
    <row r="23" spans="1:9" x14ac:dyDescent="0.3">
      <c r="A23" s="4" t="s">
        <v>73</v>
      </c>
      <c r="B23" s="5" t="s">
        <v>51</v>
      </c>
      <c r="C23" s="5" t="s">
        <v>65</v>
      </c>
      <c r="D23" s="5" t="s">
        <v>37</v>
      </c>
      <c r="E23" s="5">
        <v>92959</v>
      </c>
      <c r="F23" s="6">
        <v>42211</v>
      </c>
      <c r="G23" s="5">
        <v>5</v>
      </c>
      <c r="H23" s="5" t="s">
        <v>45</v>
      </c>
      <c r="I23" s="7" t="s">
        <v>74</v>
      </c>
    </row>
    <row r="24" spans="1:9" x14ac:dyDescent="0.3">
      <c r="A24" s="4" t="s">
        <v>75</v>
      </c>
      <c r="B24" s="5" t="s">
        <v>10</v>
      </c>
      <c r="C24" s="5" t="s">
        <v>11</v>
      </c>
      <c r="D24" s="5" t="s">
        <v>12</v>
      </c>
      <c r="E24" s="5">
        <v>92299</v>
      </c>
      <c r="F24" s="6">
        <v>42225</v>
      </c>
      <c r="G24" s="5">
        <v>3</v>
      </c>
      <c r="H24" s="5" t="s">
        <v>24</v>
      </c>
      <c r="I24" s="7" t="s">
        <v>76</v>
      </c>
    </row>
    <row r="25" spans="1:9" x14ac:dyDescent="0.3">
      <c r="A25" s="4" t="s">
        <v>77</v>
      </c>
      <c r="B25" s="5" t="s">
        <v>36</v>
      </c>
      <c r="C25" s="5"/>
      <c r="D25" s="5" t="s">
        <v>23</v>
      </c>
      <c r="E25" s="5">
        <v>95367</v>
      </c>
      <c r="F25" s="6">
        <v>42239</v>
      </c>
      <c r="G25" s="5">
        <v>3</v>
      </c>
      <c r="H25" s="5" t="s">
        <v>24</v>
      </c>
      <c r="I25" s="7" t="s">
        <v>78</v>
      </c>
    </row>
    <row r="26" spans="1:9" x14ac:dyDescent="0.3">
      <c r="A26" s="4" t="s">
        <v>79</v>
      </c>
      <c r="B26" s="5" t="s">
        <v>21</v>
      </c>
      <c r="C26" s="5" t="s">
        <v>22</v>
      </c>
      <c r="D26" s="5" t="s">
        <v>54</v>
      </c>
      <c r="E26" s="5">
        <v>79549</v>
      </c>
      <c r="F26" s="6">
        <v>42246</v>
      </c>
      <c r="G26" s="5">
        <v>3</v>
      </c>
      <c r="H26" s="5" t="s">
        <v>45</v>
      </c>
      <c r="I26" s="7" t="s">
        <v>80</v>
      </c>
    </row>
    <row r="27" spans="1:9" x14ac:dyDescent="0.3">
      <c r="A27" s="4" t="s">
        <v>81</v>
      </c>
      <c r="B27" s="5" t="s">
        <v>16</v>
      </c>
      <c r="C27" s="5" t="s">
        <v>30</v>
      </c>
      <c r="D27" s="5" t="s">
        <v>23</v>
      </c>
      <c r="E27" s="5">
        <v>89781</v>
      </c>
      <c r="F27" s="6">
        <v>42260</v>
      </c>
      <c r="G27" s="5">
        <v>3</v>
      </c>
      <c r="H27" s="5" t="s">
        <v>18</v>
      </c>
      <c r="I27" s="7" t="s">
        <v>82</v>
      </c>
    </row>
    <row r="28" spans="1:9" x14ac:dyDescent="0.3">
      <c r="A28" s="4" t="s">
        <v>83</v>
      </c>
      <c r="B28" s="5" t="s">
        <v>21</v>
      </c>
      <c r="C28" s="5" t="s">
        <v>65</v>
      </c>
      <c r="D28" s="5" t="s">
        <v>37</v>
      </c>
      <c r="E28" s="5">
        <v>52093</v>
      </c>
      <c r="F28" s="6">
        <v>42274</v>
      </c>
      <c r="G28" s="5">
        <v>5</v>
      </c>
      <c r="H28" s="5" t="s">
        <v>45</v>
      </c>
      <c r="I28" s="7" t="s">
        <v>84</v>
      </c>
    </row>
    <row r="29" spans="1:9" x14ac:dyDescent="0.3">
      <c r="A29" s="4" t="s">
        <v>85</v>
      </c>
      <c r="B29" s="5" t="s">
        <v>36</v>
      </c>
      <c r="C29" s="5" t="s">
        <v>11</v>
      </c>
      <c r="D29" s="5" t="s">
        <v>37</v>
      </c>
      <c r="E29" s="5">
        <v>48224</v>
      </c>
      <c r="F29" s="6">
        <v>42281</v>
      </c>
      <c r="G29" s="5">
        <v>3</v>
      </c>
      <c r="H29" s="5" t="s">
        <v>45</v>
      </c>
      <c r="I29" s="7" t="s">
        <v>86</v>
      </c>
    </row>
    <row r="30" spans="1:9" x14ac:dyDescent="0.3">
      <c r="A30" s="4" t="s">
        <v>87</v>
      </c>
      <c r="B30" s="5" t="s">
        <v>16</v>
      </c>
      <c r="C30" s="5" t="s">
        <v>30</v>
      </c>
      <c r="D30" s="5" t="s">
        <v>12</v>
      </c>
      <c r="E30" s="5">
        <v>33956</v>
      </c>
      <c r="F30" s="6">
        <v>42295</v>
      </c>
      <c r="G30" s="5">
        <v>3</v>
      </c>
      <c r="H30" s="5" t="s">
        <v>18</v>
      </c>
      <c r="I30" s="7" t="s">
        <v>88</v>
      </c>
    </row>
    <row r="31" spans="1:9" x14ac:dyDescent="0.3">
      <c r="A31" s="4" t="s">
        <v>89</v>
      </c>
      <c r="B31" s="5" t="s">
        <v>51</v>
      </c>
      <c r="C31" s="5"/>
      <c r="D31" s="5" t="s">
        <v>54</v>
      </c>
      <c r="E31" s="5">
        <v>64913</v>
      </c>
      <c r="F31" s="6">
        <v>42302</v>
      </c>
      <c r="G31" s="5">
        <v>1</v>
      </c>
      <c r="H31" s="5" t="s">
        <v>18</v>
      </c>
      <c r="I31" s="7" t="s">
        <v>90</v>
      </c>
    </row>
    <row r="32" spans="1:9" x14ac:dyDescent="0.3">
      <c r="A32" s="4" t="s">
        <v>91</v>
      </c>
      <c r="B32" s="5" t="s">
        <v>16</v>
      </c>
      <c r="C32" s="5" t="s">
        <v>65</v>
      </c>
      <c r="D32" s="5" t="s">
        <v>54</v>
      </c>
      <c r="E32" s="5">
        <v>35326</v>
      </c>
      <c r="F32" s="6">
        <v>42309</v>
      </c>
      <c r="G32" s="5">
        <v>3</v>
      </c>
      <c r="H32" s="5" t="s">
        <v>18</v>
      </c>
      <c r="I32" s="7" t="s">
        <v>92</v>
      </c>
    </row>
    <row r="33" spans="1:9" x14ac:dyDescent="0.3">
      <c r="A33" s="4" t="s">
        <v>93</v>
      </c>
      <c r="B33" s="5" t="s">
        <v>36</v>
      </c>
      <c r="C33" s="5" t="s">
        <v>30</v>
      </c>
      <c r="D33" s="5" t="s">
        <v>12</v>
      </c>
      <c r="E33" s="5">
        <v>92701</v>
      </c>
      <c r="F33" s="6">
        <v>42330</v>
      </c>
      <c r="G33" s="5">
        <v>3</v>
      </c>
      <c r="H33" s="5" t="s">
        <v>13</v>
      </c>
      <c r="I33" s="7" t="s">
        <v>94</v>
      </c>
    </row>
    <row r="34" spans="1:9" x14ac:dyDescent="0.3">
      <c r="A34" s="4" t="s">
        <v>95</v>
      </c>
      <c r="B34" s="5" t="s">
        <v>36</v>
      </c>
      <c r="C34" s="5" t="s">
        <v>11</v>
      </c>
      <c r="D34" s="5" t="s">
        <v>31</v>
      </c>
      <c r="E34" s="5">
        <v>58245</v>
      </c>
      <c r="F34" s="6">
        <v>42337</v>
      </c>
      <c r="G34" s="5">
        <v>4</v>
      </c>
      <c r="H34" s="5" t="s">
        <v>45</v>
      </c>
      <c r="I34" s="7" t="s">
        <v>96</v>
      </c>
    </row>
    <row r="35" spans="1:9" x14ac:dyDescent="0.3">
      <c r="A35" s="4" t="s">
        <v>97</v>
      </c>
      <c r="B35" s="5" t="s">
        <v>10</v>
      </c>
      <c r="C35" s="5" t="s">
        <v>11</v>
      </c>
      <c r="D35" s="5" t="s">
        <v>12</v>
      </c>
      <c r="E35" s="5">
        <v>78720</v>
      </c>
      <c r="F35" s="6">
        <v>42351</v>
      </c>
      <c r="G35" s="5">
        <v>5</v>
      </c>
      <c r="H35" s="5" t="s">
        <v>18</v>
      </c>
      <c r="I35" s="7" t="s">
        <v>98</v>
      </c>
    </row>
    <row r="36" spans="1:9" x14ac:dyDescent="0.3">
      <c r="A36" s="4" t="s">
        <v>99</v>
      </c>
      <c r="B36" s="5" t="s">
        <v>40</v>
      </c>
      <c r="C36" s="5" t="s">
        <v>22</v>
      </c>
      <c r="D36" s="5" t="s">
        <v>31</v>
      </c>
      <c r="E36" s="5">
        <v>39423</v>
      </c>
      <c r="F36" s="6">
        <v>42365</v>
      </c>
      <c r="G36" s="5">
        <v>5</v>
      </c>
      <c r="H36" s="5" t="s">
        <v>45</v>
      </c>
      <c r="I36" s="7" t="s">
        <v>100</v>
      </c>
    </row>
    <row r="37" spans="1:9" x14ac:dyDescent="0.3">
      <c r="A37" s="4" t="s">
        <v>101</v>
      </c>
      <c r="B37" s="5" t="s">
        <v>10</v>
      </c>
      <c r="C37" s="5" t="s">
        <v>17</v>
      </c>
      <c r="D37" s="5" t="s">
        <v>37</v>
      </c>
      <c r="E37" s="5">
        <v>33352</v>
      </c>
      <c r="F37" s="6">
        <v>42379</v>
      </c>
      <c r="G37" s="5">
        <v>3</v>
      </c>
      <c r="H37" s="5" t="s">
        <v>18</v>
      </c>
      <c r="I37" s="7" t="s">
        <v>61</v>
      </c>
    </row>
    <row r="38" spans="1:9" x14ac:dyDescent="0.3">
      <c r="A38" s="4" t="s">
        <v>102</v>
      </c>
      <c r="B38" s="5" t="s">
        <v>51</v>
      </c>
      <c r="C38" s="5" t="s">
        <v>65</v>
      </c>
      <c r="D38" s="5" t="s">
        <v>37</v>
      </c>
      <c r="E38" s="5">
        <v>75633</v>
      </c>
      <c r="F38" s="6">
        <v>42386</v>
      </c>
      <c r="G38" s="5">
        <v>5</v>
      </c>
      <c r="H38" s="5" t="s">
        <v>13</v>
      </c>
      <c r="I38" s="7" t="s">
        <v>103</v>
      </c>
    </row>
    <row r="39" spans="1:9" x14ac:dyDescent="0.3">
      <c r="A39" s="4" t="s">
        <v>104</v>
      </c>
      <c r="B39" s="5" t="s">
        <v>36</v>
      </c>
      <c r="C39" s="5"/>
      <c r="D39" s="5" t="s">
        <v>23</v>
      </c>
      <c r="E39" s="5">
        <v>74815</v>
      </c>
      <c r="F39" s="6">
        <v>42393</v>
      </c>
      <c r="G39" s="5">
        <v>5</v>
      </c>
      <c r="H39" s="5" t="s">
        <v>18</v>
      </c>
      <c r="I39" s="7" t="s">
        <v>105</v>
      </c>
    </row>
    <row r="40" spans="1:9" x14ac:dyDescent="0.3">
      <c r="A40" s="4" t="s">
        <v>106</v>
      </c>
      <c r="B40" s="5" t="s">
        <v>21</v>
      </c>
      <c r="C40" s="5" t="s">
        <v>22</v>
      </c>
      <c r="D40" s="5" t="s">
        <v>54</v>
      </c>
      <c r="E40" s="5">
        <v>60011</v>
      </c>
      <c r="F40" s="6">
        <v>42400</v>
      </c>
      <c r="G40" s="5">
        <v>1</v>
      </c>
      <c r="H40" s="5" t="s">
        <v>24</v>
      </c>
      <c r="I40" s="7" t="s">
        <v>107</v>
      </c>
    </row>
    <row r="41" spans="1:9" x14ac:dyDescent="0.3">
      <c r="A41" s="4" t="s">
        <v>108</v>
      </c>
      <c r="B41" s="5" t="s">
        <v>10</v>
      </c>
      <c r="C41" s="5"/>
      <c r="D41" s="5" t="s">
        <v>31</v>
      </c>
      <c r="E41" s="5">
        <v>96949</v>
      </c>
      <c r="F41" s="6">
        <v>42407</v>
      </c>
      <c r="G41" s="5">
        <v>3</v>
      </c>
      <c r="H41" s="5" t="s">
        <v>45</v>
      </c>
      <c r="I41" s="7" t="s">
        <v>70</v>
      </c>
    </row>
    <row r="42" spans="1:9" x14ac:dyDescent="0.3">
      <c r="A42" s="4" t="s">
        <v>109</v>
      </c>
      <c r="B42" s="5" t="s">
        <v>40</v>
      </c>
      <c r="C42" s="5" t="s">
        <v>17</v>
      </c>
      <c r="D42" s="5" t="s">
        <v>23</v>
      </c>
      <c r="E42" s="5">
        <v>82033</v>
      </c>
      <c r="F42" s="6">
        <v>42421</v>
      </c>
      <c r="G42" s="5">
        <v>1</v>
      </c>
      <c r="H42" s="5" t="s">
        <v>45</v>
      </c>
      <c r="I42" s="7" t="s">
        <v>110</v>
      </c>
    </row>
    <row r="43" spans="1:9" x14ac:dyDescent="0.3">
      <c r="A43" s="4" t="s">
        <v>111</v>
      </c>
      <c r="B43" s="5" t="s">
        <v>10</v>
      </c>
      <c r="C43" s="5"/>
      <c r="D43" s="5" t="s">
        <v>54</v>
      </c>
      <c r="E43" s="5">
        <v>31499</v>
      </c>
      <c r="F43" s="6">
        <v>42435</v>
      </c>
      <c r="G43" s="5">
        <v>2</v>
      </c>
      <c r="H43" s="5" t="s">
        <v>45</v>
      </c>
      <c r="I43" s="7" t="s">
        <v>82</v>
      </c>
    </row>
    <row r="44" spans="1:9" x14ac:dyDescent="0.3">
      <c r="A44" s="4" t="s">
        <v>112</v>
      </c>
      <c r="B44" s="5" t="s">
        <v>36</v>
      </c>
      <c r="C44" s="5" t="s">
        <v>30</v>
      </c>
      <c r="D44" s="5" t="s">
        <v>37</v>
      </c>
      <c r="E44" s="5">
        <v>97981</v>
      </c>
      <c r="F44" s="6">
        <v>42442</v>
      </c>
      <c r="G44" s="5">
        <v>5</v>
      </c>
      <c r="H44" s="5" t="s">
        <v>18</v>
      </c>
      <c r="I44" s="7" t="s">
        <v>113</v>
      </c>
    </row>
    <row r="45" spans="1:9" x14ac:dyDescent="0.3">
      <c r="A45" s="4" t="s">
        <v>114</v>
      </c>
      <c r="B45" s="5" t="s">
        <v>10</v>
      </c>
      <c r="C45" s="5" t="s">
        <v>11</v>
      </c>
      <c r="D45" s="5" t="s">
        <v>23</v>
      </c>
      <c r="E45" s="5">
        <v>36541</v>
      </c>
      <c r="F45" s="6">
        <v>42449</v>
      </c>
      <c r="G45" s="5">
        <v>2</v>
      </c>
      <c r="H45" s="5" t="s">
        <v>13</v>
      </c>
      <c r="I45" s="7" t="s">
        <v>115</v>
      </c>
    </row>
    <row r="46" spans="1:9" x14ac:dyDescent="0.3">
      <c r="A46" s="4" t="s">
        <v>116</v>
      </c>
      <c r="B46" s="5" t="s">
        <v>21</v>
      </c>
      <c r="C46" s="5" t="s">
        <v>30</v>
      </c>
      <c r="D46" s="5" t="s">
        <v>31</v>
      </c>
      <c r="E46" s="5">
        <v>84737</v>
      </c>
      <c r="F46" s="6">
        <v>42456</v>
      </c>
      <c r="G46" s="5">
        <v>1</v>
      </c>
      <c r="H46" s="5" t="s">
        <v>24</v>
      </c>
      <c r="I46" s="7" t="s">
        <v>117</v>
      </c>
    </row>
    <row r="47" spans="1:9" x14ac:dyDescent="0.3">
      <c r="A47" s="4" t="s">
        <v>118</v>
      </c>
      <c r="B47" s="5" t="s">
        <v>40</v>
      </c>
      <c r="C47" s="5" t="s">
        <v>17</v>
      </c>
      <c r="D47" s="5" t="s">
        <v>31</v>
      </c>
      <c r="E47" s="5">
        <v>33468</v>
      </c>
      <c r="F47" s="6">
        <v>42463</v>
      </c>
      <c r="G47" s="5">
        <v>4</v>
      </c>
      <c r="H47" s="5" t="s">
        <v>24</v>
      </c>
      <c r="I47" s="7" t="s">
        <v>119</v>
      </c>
    </row>
    <row r="48" spans="1:9" x14ac:dyDescent="0.3">
      <c r="A48" s="4" t="s">
        <v>120</v>
      </c>
      <c r="B48" s="5" t="s">
        <v>40</v>
      </c>
      <c r="C48" s="5"/>
      <c r="D48" s="5" t="s">
        <v>54</v>
      </c>
      <c r="E48" s="5">
        <v>96365</v>
      </c>
      <c r="F48" s="6">
        <v>42470</v>
      </c>
      <c r="G48" s="5">
        <v>3</v>
      </c>
      <c r="H48" s="5" t="s">
        <v>13</v>
      </c>
      <c r="I48" s="7" t="s">
        <v>121</v>
      </c>
    </row>
    <row r="49" spans="1:9" x14ac:dyDescent="0.3">
      <c r="A49" s="4" t="s">
        <v>122</v>
      </c>
      <c r="B49" s="5" t="s">
        <v>16</v>
      </c>
      <c r="C49" s="5" t="s">
        <v>22</v>
      </c>
      <c r="D49" s="5" t="s">
        <v>31</v>
      </c>
      <c r="E49" s="5">
        <v>61942</v>
      </c>
      <c r="F49" s="6">
        <v>42477</v>
      </c>
      <c r="G49" s="5">
        <v>3</v>
      </c>
      <c r="H49" s="5" t="s">
        <v>18</v>
      </c>
      <c r="I49" s="7" t="s">
        <v>123</v>
      </c>
    </row>
    <row r="50" spans="1:9" x14ac:dyDescent="0.3">
      <c r="A50" s="4" t="s">
        <v>124</v>
      </c>
      <c r="B50" s="5" t="s">
        <v>40</v>
      </c>
      <c r="C50" s="5" t="s">
        <v>17</v>
      </c>
      <c r="D50" s="5" t="s">
        <v>37</v>
      </c>
      <c r="E50" s="5">
        <v>41467</v>
      </c>
      <c r="F50" s="6">
        <v>42484</v>
      </c>
      <c r="G50" s="5">
        <v>2</v>
      </c>
      <c r="H50" s="5" t="s">
        <v>45</v>
      </c>
      <c r="I50" s="7" t="s">
        <v>125</v>
      </c>
    </row>
    <row r="51" spans="1:9" x14ac:dyDescent="0.3">
      <c r="A51" s="4" t="s">
        <v>126</v>
      </c>
      <c r="B51" s="5" t="s">
        <v>51</v>
      </c>
      <c r="C51" s="5" t="s">
        <v>17</v>
      </c>
      <c r="D51" s="5" t="s">
        <v>31</v>
      </c>
      <c r="E51" s="5">
        <v>77096</v>
      </c>
      <c r="F51" s="6">
        <v>42491</v>
      </c>
      <c r="G51" s="5">
        <v>1</v>
      </c>
      <c r="H51" s="5" t="s">
        <v>45</v>
      </c>
      <c r="I51" s="7" t="s">
        <v>127</v>
      </c>
    </row>
    <row r="52" spans="1:9" x14ac:dyDescent="0.3">
      <c r="A52" s="4" t="s">
        <v>128</v>
      </c>
      <c r="B52" s="5" t="s">
        <v>10</v>
      </c>
      <c r="C52" s="5" t="s">
        <v>65</v>
      </c>
      <c r="D52" s="5" t="s">
        <v>23</v>
      </c>
      <c r="E52" s="5">
        <v>85065</v>
      </c>
      <c r="F52" s="6">
        <v>42505</v>
      </c>
      <c r="G52" s="5">
        <v>3</v>
      </c>
      <c r="H52" s="5" t="s">
        <v>45</v>
      </c>
      <c r="I52" s="7" t="s">
        <v>129</v>
      </c>
    </row>
    <row r="53" spans="1:9" x14ac:dyDescent="0.3">
      <c r="A53" s="4" t="s">
        <v>130</v>
      </c>
      <c r="B53" s="5" t="s">
        <v>51</v>
      </c>
      <c r="C53" s="5" t="s">
        <v>65</v>
      </c>
      <c r="D53" s="5" t="s">
        <v>31</v>
      </c>
      <c r="E53" s="5">
        <v>56512</v>
      </c>
      <c r="F53" s="6">
        <v>42512</v>
      </c>
      <c r="G53" s="5">
        <v>3</v>
      </c>
      <c r="H53" s="5" t="s">
        <v>13</v>
      </c>
      <c r="I53" s="7" t="s">
        <v>38</v>
      </c>
    </row>
    <row r="54" spans="1:9" x14ac:dyDescent="0.3">
      <c r="A54" s="4" t="s">
        <v>131</v>
      </c>
      <c r="B54" s="5" t="s">
        <v>21</v>
      </c>
      <c r="C54" s="5" t="s">
        <v>22</v>
      </c>
      <c r="D54" s="5" t="s">
        <v>31</v>
      </c>
      <c r="E54" s="5">
        <v>91101</v>
      </c>
      <c r="F54" s="6">
        <v>42519</v>
      </c>
      <c r="G54" s="5">
        <v>4</v>
      </c>
      <c r="H54" s="5" t="s">
        <v>18</v>
      </c>
      <c r="I54" s="7" t="s">
        <v>113</v>
      </c>
    </row>
    <row r="55" spans="1:9" x14ac:dyDescent="0.3">
      <c r="A55" s="4" t="s">
        <v>132</v>
      </c>
      <c r="B55" s="5" t="s">
        <v>40</v>
      </c>
      <c r="C55" s="5"/>
      <c r="D55" s="5" t="s">
        <v>12</v>
      </c>
      <c r="E55" s="5">
        <v>41243</v>
      </c>
      <c r="F55" s="6">
        <v>42526</v>
      </c>
      <c r="G55" s="5">
        <v>3</v>
      </c>
      <c r="H55" s="5" t="s">
        <v>45</v>
      </c>
      <c r="I55" s="7" t="s">
        <v>76</v>
      </c>
    </row>
    <row r="56" spans="1:9" x14ac:dyDescent="0.3">
      <c r="A56" s="4" t="s">
        <v>133</v>
      </c>
      <c r="B56" s="5" t="s">
        <v>10</v>
      </c>
      <c r="C56" s="5" t="s">
        <v>30</v>
      </c>
      <c r="D56" s="5" t="s">
        <v>31</v>
      </c>
      <c r="E56" s="5">
        <v>94301</v>
      </c>
      <c r="F56" s="6">
        <v>42540</v>
      </c>
      <c r="G56" s="5">
        <v>1</v>
      </c>
      <c r="H56" s="5" t="s">
        <v>24</v>
      </c>
      <c r="I56" s="7" t="s">
        <v>110</v>
      </c>
    </row>
    <row r="57" spans="1:9" x14ac:dyDescent="0.3">
      <c r="A57" s="4" t="s">
        <v>134</v>
      </c>
      <c r="B57" s="5" t="s">
        <v>27</v>
      </c>
      <c r="C57" s="5"/>
      <c r="D57" s="5" t="s">
        <v>37</v>
      </c>
      <c r="E57" s="5">
        <v>69166</v>
      </c>
      <c r="F57" s="6">
        <v>42547</v>
      </c>
      <c r="G57" s="5">
        <v>1</v>
      </c>
      <c r="H57" s="5" t="s">
        <v>18</v>
      </c>
      <c r="I57" s="7" t="s">
        <v>135</v>
      </c>
    </row>
    <row r="58" spans="1:9" x14ac:dyDescent="0.3">
      <c r="A58" s="4" t="s">
        <v>136</v>
      </c>
      <c r="B58" s="5" t="s">
        <v>40</v>
      </c>
      <c r="C58" s="5"/>
      <c r="D58" s="5" t="s">
        <v>37</v>
      </c>
      <c r="E58" s="5">
        <v>78245</v>
      </c>
      <c r="F58" s="6">
        <v>42554</v>
      </c>
      <c r="G58" s="5">
        <v>2</v>
      </c>
      <c r="H58" s="5" t="s">
        <v>45</v>
      </c>
      <c r="I58" s="7" t="s">
        <v>137</v>
      </c>
    </row>
    <row r="59" spans="1:9" x14ac:dyDescent="0.3">
      <c r="A59" s="4" t="s">
        <v>138</v>
      </c>
      <c r="B59" s="5" t="s">
        <v>36</v>
      </c>
      <c r="C59" s="5" t="s">
        <v>22</v>
      </c>
      <c r="D59" s="5" t="s">
        <v>23</v>
      </c>
      <c r="E59" s="5">
        <v>66079</v>
      </c>
      <c r="F59" s="6">
        <v>42561</v>
      </c>
      <c r="G59" s="5">
        <v>2</v>
      </c>
      <c r="H59" s="5" t="s">
        <v>13</v>
      </c>
      <c r="I59" s="7" t="s">
        <v>139</v>
      </c>
    </row>
    <row r="60" spans="1:9" x14ac:dyDescent="0.3">
      <c r="A60" s="4" t="s">
        <v>140</v>
      </c>
      <c r="B60" s="5" t="s">
        <v>27</v>
      </c>
      <c r="C60" s="5" t="s">
        <v>22</v>
      </c>
      <c r="D60" s="5" t="s">
        <v>23</v>
      </c>
      <c r="E60" s="5">
        <v>95621</v>
      </c>
      <c r="F60" s="6">
        <v>42575</v>
      </c>
      <c r="G60" s="5">
        <v>3</v>
      </c>
      <c r="H60" s="5" t="s">
        <v>18</v>
      </c>
      <c r="I60" s="7" t="s">
        <v>141</v>
      </c>
    </row>
    <row r="61" spans="1:9" x14ac:dyDescent="0.3">
      <c r="A61" s="4" t="s">
        <v>142</v>
      </c>
      <c r="B61" s="5" t="s">
        <v>10</v>
      </c>
      <c r="C61" s="5" t="s">
        <v>30</v>
      </c>
      <c r="D61" s="5" t="s">
        <v>37</v>
      </c>
      <c r="E61" s="5">
        <v>42262</v>
      </c>
      <c r="F61" s="6">
        <v>42582</v>
      </c>
      <c r="G61" s="5">
        <v>1</v>
      </c>
      <c r="H61" s="5" t="s">
        <v>45</v>
      </c>
      <c r="I61" s="7" t="s">
        <v>143</v>
      </c>
    </row>
    <row r="62" spans="1:9" x14ac:dyDescent="0.3">
      <c r="A62" s="4" t="s">
        <v>144</v>
      </c>
      <c r="B62" s="5" t="s">
        <v>40</v>
      </c>
      <c r="C62" s="5" t="s">
        <v>22</v>
      </c>
      <c r="D62" s="5" t="s">
        <v>31</v>
      </c>
      <c r="E62" s="5">
        <v>99621</v>
      </c>
      <c r="F62" s="6">
        <v>42589</v>
      </c>
      <c r="G62" s="5">
        <v>3</v>
      </c>
      <c r="H62" s="5" t="s">
        <v>13</v>
      </c>
      <c r="I62" s="7" t="s">
        <v>145</v>
      </c>
    </row>
    <row r="63" spans="1:9" x14ac:dyDescent="0.3">
      <c r="A63" s="4" t="s">
        <v>146</v>
      </c>
      <c r="B63" s="5" t="s">
        <v>21</v>
      </c>
      <c r="C63" s="5" t="s">
        <v>65</v>
      </c>
      <c r="D63" s="5" t="s">
        <v>31</v>
      </c>
      <c r="E63" s="5">
        <v>44682</v>
      </c>
      <c r="F63" s="6">
        <v>42596</v>
      </c>
      <c r="G63" s="5">
        <v>4</v>
      </c>
      <c r="H63" s="5" t="s">
        <v>18</v>
      </c>
      <c r="I63" s="7" t="s">
        <v>88</v>
      </c>
    </row>
    <row r="64" spans="1:9" x14ac:dyDescent="0.3">
      <c r="A64" s="4" t="s">
        <v>147</v>
      </c>
      <c r="B64" s="5" t="s">
        <v>36</v>
      </c>
      <c r="C64" s="5" t="s">
        <v>30</v>
      </c>
      <c r="D64" s="5" t="s">
        <v>31</v>
      </c>
      <c r="E64" s="5">
        <v>33483</v>
      </c>
      <c r="F64" s="6">
        <v>42610</v>
      </c>
      <c r="G64" s="5">
        <v>4</v>
      </c>
      <c r="H64" s="5" t="s">
        <v>24</v>
      </c>
      <c r="I64" s="7" t="s">
        <v>148</v>
      </c>
    </row>
    <row r="65" spans="1:9" x14ac:dyDescent="0.3">
      <c r="A65" s="4" t="s">
        <v>149</v>
      </c>
      <c r="B65" s="5" t="s">
        <v>40</v>
      </c>
      <c r="C65" s="5" t="s">
        <v>11</v>
      </c>
      <c r="D65" s="5" t="s">
        <v>12</v>
      </c>
      <c r="E65" s="5">
        <v>55303</v>
      </c>
      <c r="F65" s="6">
        <v>42617</v>
      </c>
      <c r="G65" s="5">
        <v>4</v>
      </c>
      <c r="H65" s="5" t="s">
        <v>24</v>
      </c>
      <c r="I65" s="7" t="s">
        <v>66</v>
      </c>
    </row>
    <row r="66" spans="1:9" x14ac:dyDescent="0.3">
      <c r="A66" s="4" t="s">
        <v>150</v>
      </c>
      <c r="B66" s="5" t="s">
        <v>27</v>
      </c>
      <c r="C66" s="5"/>
      <c r="D66" s="5" t="s">
        <v>54</v>
      </c>
      <c r="E66" s="5">
        <v>38830</v>
      </c>
      <c r="F66" s="6">
        <v>42631</v>
      </c>
      <c r="G66" s="5">
        <v>3</v>
      </c>
      <c r="H66" s="5" t="s">
        <v>13</v>
      </c>
      <c r="I66" s="7" t="s">
        <v>66</v>
      </c>
    </row>
    <row r="67" spans="1:9" x14ac:dyDescent="0.3">
      <c r="A67" s="4" t="s">
        <v>151</v>
      </c>
      <c r="B67" s="5" t="s">
        <v>16</v>
      </c>
      <c r="C67" s="5" t="s">
        <v>11</v>
      </c>
      <c r="D67" s="5" t="s">
        <v>54</v>
      </c>
      <c r="E67" s="5">
        <v>69420</v>
      </c>
      <c r="F67" s="6">
        <v>42645</v>
      </c>
      <c r="G67" s="5">
        <v>1</v>
      </c>
      <c r="H67" s="5" t="s">
        <v>24</v>
      </c>
      <c r="I67" s="7" t="s">
        <v>96</v>
      </c>
    </row>
    <row r="68" spans="1:9" x14ac:dyDescent="0.3">
      <c r="A68" s="4" t="s">
        <v>152</v>
      </c>
      <c r="B68" s="5" t="s">
        <v>16</v>
      </c>
      <c r="C68" s="5"/>
      <c r="D68" s="5" t="s">
        <v>23</v>
      </c>
      <c r="E68" s="5">
        <v>76238</v>
      </c>
      <c r="F68" s="6">
        <v>42659</v>
      </c>
      <c r="G68" s="5">
        <v>4</v>
      </c>
      <c r="H68" s="5" t="s">
        <v>24</v>
      </c>
      <c r="I68" s="7" t="s">
        <v>153</v>
      </c>
    </row>
    <row r="69" spans="1:9" x14ac:dyDescent="0.3">
      <c r="A69" s="4" t="s">
        <v>154</v>
      </c>
      <c r="B69" s="5" t="s">
        <v>51</v>
      </c>
      <c r="C69" s="5" t="s">
        <v>30</v>
      </c>
      <c r="D69" s="5" t="s">
        <v>31</v>
      </c>
      <c r="E69" s="5">
        <v>33264</v>
      </c>
      <c r="F69" s="6">
        <v>42666</v>
      </c>
      <c r="G69" s="5">
        <v>3</v>
      </c>
      <c r="H69" s="5" t="s">
        <v>18</v>
      </c>
      <c r="I69" s="7" t="s">
        <v>155</v>
      </c>
    </row>
    <row r="70" spans="1:9" x14ac:dyDescent="0.3">
      <c r="A70" s="4" t="s">
        <v>156</v>
      </c>
      <c r="B70" s="5" t="s">
        <v>16</v>
      </c>
      <c r="C70" s="5" t="s">
        <v>17</v>
      </c>
      <c r="D70" s="5" t="s">
        <v>54</v>
      </c>
      <c r="E70" s="5">
        <v>96101</v>
      </c>
      <c r="F70" s="6">
        <v>42673</v>
      </c>
      <c r="G70" s="5">
        <v>3</v>
      </c>
      <c r="H70" s="5" t="s">
        <v>13</v>
      </c>
      <c r="I70" s="7" t="s">
        <v>157</v>
      </c>
    </row>
    <row r="71" spans="1:9" x14ac:dyDescent="0.3">
      <c r="A71" s="4" t="s">
        <v>158</v>
      </c>
      <c r="B71" s="5" t="s">
        <v>27</v>
      </c>
      <c r="C71" s="5" t="s">
        <v>17</v>
      </c>
      <c r="D71" s="5" t="s">
        <v>23</v>
      </c>
      <c r="E71" s="5">
        <v>72939</v>
      </c>
      <c r="F71" s="6">
        <v>42680</v>
      </c>
      <c r="G71" s="5">
        <v>3</v>
      </c>
      <c r="H71" s="5" t="s">
        <v>45</v>
      </c>
      <c r="I71" s="7" t="s">
        <v>159</v>
      </c>
    </row>
    <row r="72" spans="1:9" x14ac:dyDescent="0.3">
      <c r="A72" s="4" t="s">
        <v>160</v>
      </c>
      <c r="B72" s="5" t="s">
        <v>40</v>
      </c>
      <c r="C72" s="5" t="s">
        <v>11</v>
      </c>
      <c r="D72" s="5" t="s">
        <v>12</v>
      </c>
      <c r="E72" s="5">
        <v>89333</v>
      </c>
      <c r="F72" s="6">
        <v>42687</v>
      </c>
      <c r="G72" s="5">
        <v>1</v>
      </c>
      <c r="H72" s="5" t="s">
        <v>24</v>
      </c>
      <c r="I72" s="7" t="s">
        <v>161</v>
      </c>
    </row>
    <row r="73" spans="1:9" x14ac:dyDescent="0.3">
      <c r="A73" s="4" t="s">
        <v>162</v>
      </c>
      <c r="B73" s="5" t="s">
        <v>51</v>
      </c>
      <c r="C73" s="5" t="s">
        <v>30</v>
      </c>
      <c r="D73" s="5" t="s">
        <v>54</v>
      </c>
      <c r="E73" s="5">
        <v>70470</v>
      </c>
      <c r="F73" s="6">
        <v>42694</v>
      </c>
      <c r="G73" s="5">
        <v>3</v>
      </c>
      <c r="H73" s="5" t="s">
        <v>24</v>
      </c>
      <c r="I73" s="7" t="s">
        <v>163</v>
      </c>
    </row>
    <row r="74" spans="1:9" x14ac:dyDescent="0.3">
      <c r="A74" s="4" t="s">
        <v>164</v>
      </c>
      <c r="B74" s="5" t="s">
        <v>10</v>
      </c>
      <c r="C74" s="5" t="s">
        <v>65</v>
      </c>
      <c r="D74" s="5" t="s">
        <v>23</v>
      </c>
      <c r="E74" s="5">
        <v>70096</v>
      </c>
      <c r="F74" s="6">
        <v>42701</v>
      </c>
      <c r="G74" s="5">
        <v>4</v>
      </c>
      <c r="H74" s="5" t="s">
        <v>24</v>
      </c>
      <c r="I74" s="7" t="s">
        <v>165</v>
      </c>
    </row>
    <row r="75" spans="1:9" x14ac:dyDescent="0.3">
      <c r="A75" s="4" t="s">
        <v>166</v>
      </c>
      <c r="B75" s="5" t="s">
        <v>51</v>
      </c>
      <c r="C75" s="5" t="s">
        <v>30</v>
      </c>
      <c r="D75" s="5" t="s">
        <v>12</v>
      </c>
      <c r="E75" s="5">
        <v>66503</v>
      </c>
      <c r="F75" s="6">
        <v>42715</v>
      </c>
      <c r="G75" s="5">
        <v>3</v>
      </c>
      <c r="H75" s="5" t="s">
        <v>24</v>
      </c>
      <c r="I75" s="7" t="s">
        <v>61</v>
      </c>
    </row>
    <row r="76" spans="1:9" x14ac:dyDescent="0.3">
      <c r="A76" s="4" t="s">
        <v>167</v>
      </c>
      <c r="B76" s="5" t="s">
        <v>16</v>
      </c>
      <c r="C76" s="5" t="s">
        <v>11</v>
      </c>
      <c r="D76" s="5" t="s">
        <v>12</v>
      </c>
      <c r="E76" s="5">
        <v>42096</v>
      </c>
      <c r="F76" s="6">
        <v>42722</v>
      </c>
      <c r="G76" s="5">
        <v>3</v>
      </c>
      <c r="H76" s="5" t="s">
        <v>18</v>
      </c>
      <c r="I76" s="7" t="s">
        <v>168</v>
      </c>
    </row>
    <row r="77" spans="1:9" x14ac:dyDescent="0.3">
      <c r="A77" s="4" t="s">
        <v>169</v>
      </c>
      <c r="B77" s="5" t="s">
        <v>27</v>
      </c>
      <c r="C77" s="5"/>
      <c r="D77" s="5" t="s">
        <v>54</v>
      </c>
      <c r="E77" s="5">
        <v>61556</v>
      </c>
      <c r="F77" s="6">
        <v>42736</v>
      </c>
      <c r="G77" s="5">
        <v>1</v>
      </c>
      <c r="H77" s="5" t="s">
        <v>45</v>
      </c>
      <c r="I77" s="7" t="s">
        <v>170</v>
      </c>
    </row>
    <row r="78" spans="1:9" x14ac:dyDescent="0.3">
      <c r="A78" s="4" t="s">
        <v>171</v>
      </c>
      <c r="B78" s="5" t="s">
        <v>40</v>
      </c>
      <c r="C78" s="5" t="s">
        <v>65</v>
      </c>
      <c r="D78" s="5" t="s">
        <v>54</v>
      </c>
      <c r="E78" s="5">
        <v>86412</v>
      </c>
      <c r="F78" s="6">
        <v>42757</v>
      </c>
      <c r="G78" s="5">
        <v>2</v>
      </c>
      <c r="H78" s="5" t="s">
        <v>18</v>
      </c>
      <c r="I78" s="7" t="s">
        <v>63</v>
      </c>
    </row>
    <row r="79" spans="1:9" x14ac:dyDescent="0.3">
      <c r="A79" s="4" t="s">
        <v>172</v>
      </c>
      <c r="B79" s="5" t="s">
        <v>27</v>
      </c>
      <c r="C79" s="5"/>
      <c r="D79" s="5" t="s">
        <v>31</v>
      </c>
      <c r="E79" s="5">
        <v>88850</v>
      </c>
      <c r="F79" s="6">
        <v>42771</v>
      </c>
      <c r="G79" s="5">
        <v>1</v>
      </c>
      <c r="H79" s="5" t="s">
        <v>18</v>
      </c>
      <c r="I79" s="7" t="s">
        <v>173</v>
      </c>
    </row>
    <row r="80" spans="1:9" x14ac:dyDescent="0.3">
      <c r="A80" s="4" t="s">
        <v>174</v>
      </c>
      <c r="B80" s="5" t="s">
        <v>36</v>
      </c>
      <c r="C80" s="5" t="s">
        <v>30</v>
      </c>
      <c r="D80" s="5" t="s">
        <v>23</v>
      </c>
      <c r="E80" s="5">
        <v>34306</v>
      </c>
      <c r="F80" s="6">
        <v>42785</v>
      </c>
      <c r="G80" s="5">
        <v>5</v>
      </c>
      <c r="H80" s="5" t="s">
        <v>18</v>
      </c>
      <c r="I80" s="7" t="s">
        <v>123</v>
      </c>
    </row>
    <row r="81" spans="1:9" x14ac:dyDescent="0.3">
      <c r="A81" s="4" t="s">
        <v>175</v>
      </c>
      <c r="B81" s="5" t="s">
        <v>10</v>
      </c>
      <c r="C81" s="5" t="s">
        <v>17</v>
      </c>
      <c r="D81" s="5" t="s">
        <v>31</v>
      </c>
      <c r="E81" s="5">
        <v>78330</v>
      </c>
      <c r="F81" s="6">
        <v>42792</v>
      </c>
      <c r="G81" s="5">
        <v>3</v>
      </c>
      <c r="H81" s="5" t="s">
        <v>13</v>
      </c>
      <c r="I81" s="7" t="s">
        <v>165</v>
      </c>
    </row>
    <row r="82" spans="1:9" x14ac:dyDescent="0.3">
      <c r="A82" s="4" t="s">
        <v>176</v>
      </c>
      <c r="B82" s="5" t="s">
        <v>16</v>
      </c>
      <c r="C82" s="5" t="s">
        <v>30</v>
      </c>
      <c r="D82" s="5" t="s">
        <v>23</v>
      </c>
      <c r="E82" s="5">
        <v>47653</v>
      </c>
      <c r="F82" s="6">
        <v>42799</v>
      </c>
      <c r="G82" s="5">
        <v>1</v>
      </c>
      <c r="H82" s="5" t="s">
        <v>24</v>
      </c>
      <c r="I82" s="7" t="s">
        <v>177</v>
      </c>
    </row>
    <row r="83" spans="1:9" x14ac:dyDescent="0.3">
      <c r="A83" s="4" t="s">
        <v>178</v>
      </c>
      <c r="B83" s="5" t="s">
        <v>10</v>
      </c>
      <c r="C83" s="5" t="s">
        <v>65</v>
      </c>
      <c r="D83" s="5" t="s">
        <v>37</v>
      </c>
      <c r="E83" s="5">
        <v>44627</v>
      </c>
      <c r="F83" s="6">
        <v>42806</v>
      </c>
      <c r="G83" s="5">
        <v>4</v>
      </c>
      <c r="H83" s="5" t="s">
        <v>45</v>
      </c>
      <c r="I83" s="7" t="s">
        <v>115</v>
      </c>
    </row>
    <row r="84" spans="1:9" x14ac:dyDescent="0.3">
      <c r="A84" s="4" t="s">
        <v>179</v>
      </c>
      <c r="B84" s="5" t="s">
        <v>51</v>
      </c>
      <c r="C84" s="5" t="s">
        <v>11</v>
      </c>
      <c r="D84" s="5" t="s">
        <v>12</v>
      </c>
      <c r="E84" s="5">
        <v>92343</v>
      </c>
      <c r="F84" s="6">
        <v>42813</v>
      </c>
      <c r="G84" s="5">
        <v>4</v>
      </c>
      <c r="H84" s="5" t="s">
        <v>18</v>
      </c>
      <c r="I84" s="7" t="s">
        <v>66</v>
      </c>
    </row>
    <row r="85" spans="1:9" x14ac:dyDescent="0.3">
      <c r="A85" s="4" t="s">
        <v>180</v>
      </c>
      <c r="B85" s="5" t="s">
        <v>51</v>
      </c>
      <c r="C85" s="5" t="s">
        <v>65</v>
      </c>
      <c r="D85" s="5" t="s">
        <v>54</v>
      </c>
      <c r="E85" s="5">
        <v>38837</v>
      </c>
      <c r="F85" s="6">
        <v>42820</v>
      </c>
      <c r="G85" s="5">
        <v>5</v>
      </c>
      <c r="H85" s="5" t="s">
        <v>18</v>
      </c>
      <c r="I85" s="7" t="s">
        <v>123</v>
      </c>
    </row>
    <row r="86" spans="1:9" x14ac:dyDescent="0.3">
      <c r="A86" s="4" t="s">
        <v>181</v>
      </c>
      <c r="B86" s="5" t="s">
        <v>36</v>
      </c>
      <c r="C86" s="5" t="s">
        <v>22</v>
      </c>
      <c r="D86" s="5" t="s">
        <v>31</v>
      </c>
      <c r="E86" s="5">
        <v>95032</v>
      </c>
      <c r="F86" s="6">
        <v>42834</v>
      </c>
      <c r="G86" s="5">
        <v>3</v>
      </c>
      <c r="H86" s="5" t="s">
        <v>45</v>
      </c>
      <c r="I86" s="7" t="s">
        <v>182</v>
      </c>
    </row>
    <row r="87" spans="1:9" x14ac:dyDescent="0.3">
      <c r="A87" s="4" t="s">
        <v>183</v>
      </c>
      <c r="B87" s="5" t="s">
        <v>10</v>
      </c>
      <c r="C87" s="5" t="s">
        <v>22</v>
      </c>
      <c r="D87" s="5" t="s">
        <v>54</v>
      </c>
      <c r="E87" s="5">
        <v>44358</v>
      </c>
      <c r="F87" s="6">
        <v>42841</v>
      </c>
      <c r="G87" s="5">
        <v>3</v>
      </c>
      <c r="H87" s="5" t="s">
        <v>18</v>
      </c>
      <c r="I87" s="7" t="s">
        <v>61</v>
      </c>
    </row>
    <row r="88" spans="1:9" x14ac:dyDescent="0.3">
      <c r="A88" s="4" t="s">
        <v>184</v>
      </c>
      <c r="B88" s="5" t="s">
        <v>36</v>
      </c>
      <c r="C88" s="5" t="s">
        <v>22</v>
      </c>
      <c r="D88" s="5" t="s">
        <v>23</v>
      </c>
      <c r="E88" s="5">
        <v>45676</v>
      </c>
      <c r="F88" s="6">
        <v>42855</v>
      </c>
      <c r="G88" s="5">
        <v>2</v>
      </c>
      <c r="H88" s="5" t="s">
        <v>45</v>
      </c>
      <c r="I88" s="7" t="s">
        <v>185</v>
      </c>
    </row>
    <row r="89" spans="1:9" x14ac:dyDescent="0.3">
      <c r="A89" s="4" t="s">
        <v>186</v>
      </c>
      <c r="B89" s="5" t="s">
        <v>51</v>
      </c>
      <c r="C89" s="5" t="s">
        <v>22</v>
      </c>
      <c r="D89" s="5" t="s">
        <v>12</v>
      </c>
      <c r="E89" s="5">
        <v>52036</v>
      </c>
      <c r="F89" s="6">
        <v>42862</v>
      </c>
      <c r="G89" s="5">
        <v>3</v>
      </c>
      <c r="H89" s="5" t="s">
        <v>24</v>
      </c>
      <c r="I89" s="7" t="s">
        <v>187</v>
      </c>
    </row>
    <row r="90" spans="1:9" x14ac:dyDescent="0.3">
      <c r="A90" s="4" t="s">
        <v>188</v>
      </c>
      <c r="B90" s="5" t="s">
        <v>27</v>
      </c>
      <c r="C90" s="5"/>
      <c r="D90" s="5" t="s">
        <v>12</v>
      </c>
      <c r="E90" s="5">
        <v>30357</v>
      </c>
      <c r="F90" s="6">
        <v>42869</v>
      </c>
      <c r="G90" s="5">
        <v>5</v>
      </c>
      <c r="H90" s="5" t="s">
        <v>24</v>
      </c>
      <c r="I90" s="7" t="s">
        <v>145</v>
      </c>
    </row>
    <row r="91" spans="1:9" x14ac:dyDescent="0.3">
      <c r="A91" s="4" t="s">
        <v>189</v>
      </c>
      <c r="B91" s="5" t="s">
        <v>51</v>
      </c>
      <c r="C91" s="5"/>
      <c r="D91" s="5" t="s">
        <v>12</v>
      </c>
      <c r="E91" s="5">
        <v>71494</v>
      </c>
      <c r="F91" s="6">
        <v>42890</v>
      </c>
      <c r="G91" s="5">
        <v>3</v>
      </c>
      <c r="H91" s="5" t="s">
        <v>24</v>
      </c>
      <c r="I91" s="7" t="s">
        <v>190</v>
      </c>
    </row>
    <row r="92" spans="1:9" x14ac:dyDescent="0.3">
      <c r="A92" s="4" t="s">
        <v>191</v>
      </c>
      <c r="B92" s="5" t="s">
        <v>21</v>
      </c>
      <c r="C92" s="5" t="s">
        <v>17</v>
      </c>
      <c r="D92" s="5" t="s">
        <v>23</v>
      </c>
      <c r="E92" s="5">
        <v>91953</v>
      </c>
      <c r="F92" s="6">
        <v>42897</v>
      </c>
      <c r="G92" s="5">
        <v>2</v>
      </c>
      <c r="H92" s="5" t="s">
        <v>24</v>
      </c>
      <c r="I92" s="7" t="s">
        <v>74</v>
      </c>
    </row>
    <row r="93" spans="1:9" x14ac:dyDescent="0.3">
      <c r="A93" s="4" t="s">
        <v>192</v>
      </c>
      <c r="B93" s="5" t="s">
        <v>36</v>
      </c>
      <c r="C93" s="5" t="s">
        <v>22</v>
      </c>
      <c r="D93" s="5" t="s">
        <v>23</v>
      </c>
      <c r="E93" s="5">
        <v>30402</v>
      </c>
      <c r="F93" s="6">
        <v>42904</v>
      </c>
      <c r="G93" s="5">
        <v>1</v>
      </c>
      <c r="H93" s="5" t="s">
        <v>45</v>
      </c>
      <c r="I93" s="7" t="s">
        <v>193</v>
      </c>
    </row>
    <row r="94" spans="1:9" x14ac:dyDescent="0.3">
      <c r="A94" s="4" t="s">
        <v>194</v>
      </c>
      <c r="B94" s="5" t="s">
        <v>51</v>
      </c>
      <c r="C94" s="5"/>
      <c r="D94" s="5" t="s">
        <v>37</v>
      </c>
      <c r="E94" s="5">
        <v>62994</v>
      </c>
      <c r="F94" s="6">
        <v>42911</v>
      </c>
      <c r="G94" s="5">
        <v>3</v>
      </c>
      <c r="H94" s="5" t="s">
        <v>45</v>
      </c>
      <c r="I94" s="7" t="s">
        <v>90</v>
      </c>
    </row>
    <row r="95" spans="1:9" x14ac:dyDescent="0.3">
      <c r="A95" s="4" t="s">
        <v>195</v>
      </c>
      <c r="B95" s="5" t="s">
        <v>40</v>
      </c>
      <c r="C95" s="5" t="s">
        <v>65</v>
      </c>
      <c r="D95" s="5" t="s">
        <v>12</v>
      </c>
      <c r="E95" s="5">
        <v>34402</v>
      </c>
      <c r="F95" s="6">
        <v>42925</v>
      </c>
      <c r="G95" s="5">
        <v>3</v>
      </c>
      <c r="H95" s="5" t="s">
        <v>13</v>
      </c>
      <c r="I95" s="7" t="s">
        <v>86</v>
      </c>
    </row>
    <row r="96" spans="1:9" x14ac:dyDescent="0.3">
      <c r="A96" s="4" t="s">
        <v>196</v>
      </c>
      <c r="B96" s="5" t="s">
        <v>10</v>
      </c>
      <c r="C96" s="5" t="s">
        <v>11</v>
      </c>
      <c r="D96" s="5" t="s">
        <v>23</v>
      </c>
      <c r="E96" s="5">
        <v>38678</v>
      </c>
      <c r="F96" s="6">
        <v>42932</v>
      </c>
      <c r="G96" s="5">
        <v>3</v>
      </c>
      <c r="H96" s="5" t="s">
        <v>13</v>
      </c>
      <c r="I96" s="7" t="s">
        <v>197</v>
      </c>
    </row>
    <row r="97" spans="1:9" x14ac:dyDescent="0.3">
      <c r="A97" s="4" t="s">
        <v>198</v>
      </c>
      <c r="B97" s="5" t="s">
        <v>36</v>
      </c>
      <c r="C97" s="5" t="s">
        <v>11</v>
      </c>
      <c r="D97" s="5" t="s">
        <v>12</v>
      </c>
      <c r="E97" s="5">
        <v>45758</v>
      </c>
      <c r="F97" s="6">
        <v>42939</v>
      </c>
      <c r="G97" s="5">
        <v>3</v>
      </c>
      <c r="H97" s="5" t="s">
        <v>45</v>
      </c>
      <c r="I97" s="7" t="s">
        <v>199</v>
      </c>
    </row>
    <row r="98" spans="1:9" x14ac:dyDescent="0.3">
      <c r="A98" s="4" t="s">
        <v>200</v>
      </c>
      <c r="B98" s="5" t="s">
        <v>10</v>
      </c>
      <c r="C98" s="5" t="s">
        <v>65</v>
      </c>
      <c r="D98" s="5" t="s">
        <v>31</v>
      </c>
      <c r="E98" s="5">
        <v>62476</v>
      </c>
      <c r="F98" s="6">
        <v>42946</v>
      </c>
      <c r="G98" s="5">
        <v>1</v>
      </c>
      <c r="H98" s="5" t="s">
        <v>13</v>
      </c>
      <c r="I98" s="7" t="s">
        <v>107</v>
      </c>
    </row>
    <row r="99" spans="1:9" x14ac:dyDescent="0.3">
      <c r="A99" s="4" t="s">
        <v>201</v>
      </c>
      <c r="B99" s="5" t="s">
        <v>48</v>
      </c>
      <c r="C99" s="5" t="s">
        <v>30</v>
      </c>
      <c r="D99" s="5" t="s">
        <v>37</v>
      </c>
      <c r="E99" s="5">
        <v>39280</v>
      </c>
      <c r="F99" s="6">
        <v>42953</v>
      </c>
      <c r="G99" s="5">
        <v>3</v>
      </c>
      <c r="H99" s="5" t="s">
        <v>18</v>
      </c>
      <c r="I99" s="7" t="s">
        <v>80</v>
      </c>
    </row>
    <row r="100" spans="1:9" x14ac:dyDescent="0.3">
      <c r="A100" s="4" t="s">
        <v>202</v>
      </c>
      <c r="B100" s="5" t="s">
        <v>27</v>
      </c>
      <c r="C100" s="5" t="s">
        <v>17</v>
      </c>
      <c r="D100" s="5" t="s">
        <v>31</v>
      </c>
      <c r="E100" s="5">
        <v>60335</v>
      </c>
      <c r="F100" s="6">
        <v>42960</v>
      </c>
      <c r="G100" s="5">
        <v>4</v>
      </c>
      <c r="H100" s="5" t="s">
        <v>13</v>
      </c>
      <c r="I100" s="7" t="s">
        <v>100</v>
      </c>
    </row>
    <row r="101" spans="1:9" x14ac:dyDescent="0.3">
      <c r="A101" s="4" t="s">
        <v>203</v>
      </c>
      <c r="B101" s="5" t="s">
        <v>36</v>
      </c>
      <c r="C101" s="5" t="s">
        <v>11</v>
      </c>
      <c r="D101" s="5" t="s">
        <v>12</v>
      </c>
      <c r="E101" s="5">
        <v>84968</v>
      </c>
      <c r="F101" s="6">
        <v>42967</v>
      </c>
      <c r="G101" s="5">
        <v>3</v>
      </c>
      <c r="H101" s="5" t="s">
        <v>45</v>
      </c>
      <c r="I101" s="7" t="s">
        <v>204</v>
      </c>
    </row>
    <row r="102" spans="1:9" x14ac:dyDescent="0.3">
      <c r="A102" s="4" t="s">
        <v>205</v>
      </c>
      <c r="B102" s="5" t="s">
        <v>36</v>
      </c>
      <c r="C102" s="5" t="s">
        <v>65</v>
      </c>
      <c r="D102" s="5" t="s">
        <v>54</v>
      </c>
      <c r="E102" s="5">
        <v>84750</v>
      </c>
      <c r="F102" s="6">
        <v>42974</v>
      </c>
      <c r="G102" s="5">
        <v>4</v>
      </c>
      <c r="H102" s="5" t="s">
        <v>18</v>
      </c>
      <c r="I102" s="7" t="s">
        <v>49</v>
      </c>
    </row>
    <row r="103" spans="1:9" x14ac:dyDescent="0.3">
      <c r="A103" s="4" t="s">
        <v>206</v>
      </c>
      <c r="B103" s="5" t="s">
        <v>27</v>
      </c>
      <c r="C103" s="5" t="s">
        <v>65</v>
      </c>
      <c r="D103" s="5" t="s">
        <v>23</v>
      </c>
      <c r="E103" s="5">
        <v>66882</v>
      </c>
      <c r="F103" s="6">
        <v>42995</v>
      </c>
      <c r="G103" s="5">
        <v>5</v>
      </c>
      <c r="H103" s="5" t="s">
        <v>13</v>
      </c>
      <c r="I103" s="7" t="s">
        <v>70</v>
      </c>
    </row>
    <row r="104" spans="1:9" x14ac:dyDescent="0.3">
      <c r="A104" s="4" t="s">
        <v>207</v>
      </c>
      <c r="B104" s="5" t="s">
        <v>36</v>
      </c>
      <c r="C104" s="5" t="s">
        <v>22</v>
      </c>
      <c r="D104" s="5" t="s">
        <v>37</v>
      </c>
      <c r="E104" s="5">
        <v>91620</v>
      </c>
      <c r="F104" s="6">
        <v>43009</v>
      </c>
      <c r="G104" s="5">
        <v>3</v>
      </c>
      <c r="H104" s="5" t="s">
        <v>45</v>
      </c>
      <c r="I104" s="7" t="s">
        <v>208</v>
      </c>
    </row>
    <row r="105" spans="1:9" x14ac:dyDescent="0.3">
      <c r="A105" s="4" t="s">
        <v>209</v>
      </c>
      <c r="B105" s="5" t="s">
        <v>40</v>
      </c>
      <c r="C105" s="5" t="s">
        <v>22</v>
      </c>
      <c r="D105" s="5" t="s">
        <v>54</v>
      </c>
      <c r="E105" s="5">
        <v>35627</v>
      </c>
      <c r="F105" s="6">
        <v>43023</v>
      </c>
      <c r="G105" s="5">
        <v>5</v>
      </c>
      <c r="H105" s="5" t="s">
        <v>18</v>
      </c>
      <c r="I105" s="7" t="s">
        <v>197</v>
      </c>
    </row>
    <row r="106" spans="1:9" x14ac:dyDescent="0.3">
      <c r="A106" s="4" t="s">
        <v>210</v>
      </c>
      <c r="B106" s="5" t="s">
        <v>21</v>
      </c>
      <c r="C106" s="5" t="s">
        <v>65</v>
      </c>
      <c r="D106" s="5" t="s">
        <v>23</v>
      </c>
      <c r="E106" s="5">
        <v>57141</v>
      </c>
      <c r="F106" s="6">
        <v>43030</v>
      </c>
      <c r="G106" s="5">
        <v>2</v>
      </c>
      <c r="H106" s="5" t="s">
        <v>45</v>
      </c>
      <c r="I106" s="7" t="s">
        <v>204</v>
      </c>
    </row>
    <row r="107" spans="1:9" x14ac:dyDescent="0.3">
      <c r="A107" s="4" t="s">
        <v>211</v>
      </c>
      <c r="B107" s="5" t="s">
        <v>51</v>
      </c>
      <c r="C107" s="5" t="s">
        <v>22</v>
      </c>
      <c r="D107" s="5" t="s">
        <v>54</v>
      </c>
      <c r="E107" s="5">
        <v>65270</v>
      </c>
      <c r="F107" s="6">
        <v>43037</v>
      </c>
      <c r="G107" s="5">
        <v>1</v>
      </c>
      <c r="H107" s="5" t="s">
        <v>45</v>
      </c>
      <c r="I107" s="7" t="s">
        <v>212</v>
      </c>
    </row>
    <row r="108" spans="1:9" x14ac:dyDescent="0.3">
      <c r="A108" s="4" t="s">
        <v>213</v>
      </c>
      <c r="B108" s="5" t="s">
        <v>51</v>
      </c>
      <c r="C108" s="5"/>
      <c r="D108" s="5" t="s">
        <v>37</v>
      </c>
      <c r="E108" s="5">
        <v>67335</v>
      </c>
      <c r="F108" s="6">
        <v>43044</v>
      </c>
      <c r="G108" s="5">
        <v>1</v>
      </c>
      <c r="H108" s="5" t="s">
        <v>13</v>
      </c>
      <c r="I108" s="7" t="s">
        <v>214</v>
      </c>
    </row>
    <row r="109" spans="1:9" x14ac:dyDescent="0.3">
      <c r="A109" s="8" t="s">
        <v>215</v>
      </c>
      <c r="B109" s="9" t="s">
        <v>40</v>
      </c>
      <c r="C109" s="9" t="s">
        <v>65</v>
      </c>
      <c r="D109" s="9" t="s">
        <v>31</v>
      </c>
      <c r="E109" s="9">
        <v>98475</v>
      </c>
      <c r="F109" s="10">
        <v>43051</v>
      </c>
      <c r="G109" s="9">
        <v>5</v>
      </c>
      <c r="H109" s="9" t="s">
        <v>13</v>
      </c>
      <c r="I109" s="11" t="s">
        <v>216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0D7A-CACA-4369-AB1F-674540E935DA}">
  <dimension ref="A1:O109"/>
  <sheetViews>
    <sheetView tabSelected="1" workbookViewId="0">
      <selection activeCell="K11" sqref="K11"/>
    </sheetView>
  </sheetViews>
  <sheetFormatPr defaultRowHeight="14.4" x14ac:dyDescent="0.3"/>
  <cols>
    <col min="1" max="1" width="16.33203125" customWidth="1"/>
    <col min="2" max="2" width="11.33203125" bestFit="1" customWidth="1"/>
    <col min="3" max="3" width="15.88671875" customWidth="1"/>
    <col min="4" max="4" width="11.21875" customWidth="1"/>
    <col min="5" max="5" width="9.33203125" customWidth="1"/>
    <col min="6" max="6" width="23.88671875" customWidth="1"/>
    <col min="7" max="7" width="10.77734375" customWidth="1"/>
    <col min="8" max="8" width="20.44140625" bestFit="1" customWidth="1"/>
    <col min="11" max="11" width="12.21875" customWidth="1"/>
  </cols>
  <sheetData>
    <row r="1" spans="1:15" s="24" customFormat="1" ht="18" x14ac:dyDescent="0.35">
      <c r="A1" s="20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2" t="s">
        <v>6</v>
      </c>
      <c r="G1" s="22" t="s">
        <v>7</v>
      </c>
      <c r="H1" s="23" t="s">
        <v>8</v>
      </c>
    </row>
    <row r="2" spans="1:15" x14ac:dyDescent="0.3">
      <c r="A2" s="17" t="s">
        <v>9</v>
      </c>
      <c r="B2" s="12" t="str">
        <f>VLOOKUP(A2,Table1_1[#All],2,FALSE)</f>
        <v>Eve Adams</v>
      </c>
      <c r="C2" s="5" t="str">
        <f>VLOOKUP($A$2,Table1_1[#All],3,FALSE)</f>
        <v>HR</v>
      </c>
      <c r="D2" s="5" t="str">
        <f>VLOOKUP($A2,Table1_1[#All],4,FALSE)</f>
        <v>Germany</v>
      </c>
      <c r="E2" s="5">
        <f>VLOOKUP($A2,Table1_1[#All],5,FALSE)</f>
        <v>54255</v>
      </c>
      <c r="F2" s="5">
        <f>VLOOKUP($A2,Table1_1[#All],7,FALSE)</f>
        <v>1</v>
      </c>
      <c r="G2" s="5" t="str">
        <f>VLOOKUP($A2,Table1_1[#All],8,FALSE)</f>
        <v>Other</v>
      </c>
      <c r="H2" s="13" t="str">
        <f>VLOOKUP($A2,Table1_1[#All],9,FALSE)</f>
        <v>user106@example.com</v>
      </c>
    </row>
    <row r="3" spans="1:15" x14ac:dyDescent="0.3">
      <c r="A3" s="18" t="s">
        <v>15</v>
      </c>
      <c r="B3" s="12" t="str">
        <f>VLOOKUP(A3,Table1_1[#All],2,FALSE)</f>
        <v>Alice Brown</v>
      </c>
      <c r="C3" s="5" t="str">
        <f>VLOOKUP($A$2,Table1_1[#All],3,FALSE)</f>
        <v>HR</v>
      </c>
      <c r="D3" s="5" t="str">
        <f>VLOOKUP($A3,Table1_1[#All],4,FALSE)</f>
        <v>Germany</v>
      </c>
      <c r="E3" s="5">
        <f>VLOOKUP($A3,Table1_1[#All],5,FALSE)</f>
        <v>63184</v>
      </c>
      <c r="F3" s="5">
        <f>VLOOKUP($A3,Table1_1[#All],7,FALSE)</f>
        <v>2</v>
      </c>
      <c r="G3" s="5" t="str">
        <f>VLOOKUP($A3,Table1_1[#All],8,FALSE)</f>
        <v>Female</v>
      </c>
      <c r="H3" s="13" t="str">
        <f>VLOOKUP($A3,Table1_1[#All],9,FALSE)</f>
        <v>user176@example.com</v>
      </c>
    </row>
    <row r="4" spans="1:15" x14ac:dyDescent="0.3">
      <c r="A4" s="17" t="s">
        <v>20</v>
      </c>
      <c r="B4" s="12" t="str">
        <f>VLOOKUP(A4,Table1_1[#All],2,FALSE)</f>
        <v>John Doe</v>
      </c>
      <c r="C4" s="5" t="str">
        <f>VLOOKUP($A$2,Table1_1[#All],3,FALSE)</f>
        <v>HR</v>
      </c>
      <c r="D4" s="5" t="str">
        <f>VLOOKUP($A4,Table1_1[#All],4,FALSE)</f>
        <v>USA</v>
      </c>
      <c r="E4" s="5">
        <f>VLOOKUP($A4,Table1_1[#All],5,FALSE)</f>
        <v>94406</v>
      </c>
      <c r="F4" s="5">
        <f>VLOOKUP($A4,Table1_1[#All],7,FALSE)</f>
        <v>1</v>
      </c>
      <c r="G4" s="5" t="str">
        <f>VLOOKUP($A4,Table1_1[#All],8,FALSE)</f>
        <v>Male</v>
      </c>
      <c r="H4" s="13" t="str">
        <f>VLOOKUP($A4,Table1_1[#All],9,FALSE)</f>
        <v>user168@example.com</v>
      </c>
    </row>
    <row r="5" spans="1:15" ht="15" thickBot="1" x14ac:dyDescent="0.35">
      <c r="A5" s="18" t="s">
        <v>26</v>
      </c>
      <c r="B5" s="12" t="str">
        <f>VLOOKUP(A5,Table1_1[#All],2,FALSE)</f>
        <v>Jane Smith</v>
      </c>
      <c r="C5" s="5" t="str">
        <f>VLOOKUP($A$2,Table1_1[#All],3,FALSE)</f>
        <v>HR</v>
      </c>
      <c r="D5" s="5" t="str">
        <f>VLOOKUP($A5,Table1_1[#All],4,FALSE)</f>
        <v>Germany</v>
      </c>
      <c r="E5" s="5">
        <f>VLOOKUP($A5,Table1_1[#All],5,FALSE)</f>
        <v>64120</v>
      </c>
      <c r="F5" s="5">
        <f>VLOOKUP($A5,Table1_1[#All],7,FALSE)</f>
        <v>1</v>
      </c>
      <c r="G5" s="5" t="str">
        <f>VLOOKUP($A5,Table1_1[#All],8,FALSE)</f>
        <v>Male</v>
      </c>
      <c r="H5" s="13" t="str">
        <f>VLOOKUP($A5,Table1_1[#All],9,FALSE)</f>
        <v>user49@example.com</v>
      </c>
    </row>
    <row r="6" spans="1:15" x14ac:dyDescent="0.3">
      <c r="A6" s="17" t="s">
        <v>29</v>
      </c>
      <c r="B6" s="12" t="str">
        <f>VLOOKUP(A6,Table1_1[#All],2,FALSE)</f>
        <v>Alice Brown</v>
      </c>
      <c r="C6" s="5" t="str">
        <f>VLOOKUP($A$2,Table1_1[#All],3,FALSE)</f>
        <v>HR</v>
      </c>
      <c r="D6" s="5" t="str">
        <f>VLOOKUP($A6,Table1_1[#All],4,FALSE)</f>
        <v>India</v>
      </c>
      <c r="E6" s="5">
        <f>VLOOKUP($A6,Table1_1[#All],5,FALSE)</f>
        <v>78421</v>
      </c>
      <c r="F6" s="5">
        <f>VLOOKUP($A6,Table1_1[#All],7,FALSE)</f>
        <v>2</v>
      </c>
      <c r="G6" s="5" t="str">
        <f>VLOOKUP($A6,Table1_1[#All],8,FALSE)</f>
        <v>Female</v>
      </c>
      <c r="H6" s="13" t="str">
        <f>VLOOKUP($A6,Table1_1[#All],9,FALSE)</f>
        <v>user24@example.com</v>
      </c>
      <c r="K6" s="25" t="s">
        <v>217</v>
      </c>
      <c r="L6" s="26"/>
      <c r="M6" s="26"/>
      <c r="N6" s="26"/>
      <c r="O6" s="27"/>
    </row>
    <row r="7" spans="1:15" x14ac:dyDescent="0.3">
      <c r="A7" s="18" t="s">
        <v>33</v>
      </c>
      <c r="B7" s="12" t="str">
        <f>VLOOKUP(A7,Table1_1[#All],2,FALSE)</f>
        <v>Alice Brown</v>
      </c>
      <c r="C7" s="5" t="str">
        <f>VLOOKUP($A$2,Table1_1[#All],3,FALSE)</f>
        <v>HR</v>
      </c>
      <c r="D7" s="5" t="str">
        <f>VLOOKUP($A7,Table1_1[#All],4,FALSE)</f>
        <v>Germany</v>
      </c>
      <c r="E7" s="5">
        <f>VLOOKUP($A7,Table1_1[#All],5,FALSE)</f>
        <v>97881</v>
      </c>
      <c r="F7" s="5">
        <f>VLOOKUP($A7,Table1_1[#All],7,FALSE)</f>
        <v>3</v>
      </c>
      <c r="G7" s="5" t="str">
        <f>VLOOKUP($A7,Table1_1[#All],8,FALSE)</f>
        <v>Female</v>
      </c>
      <c r="H7" s="13" t="str">
        <f>VLOOKUP($A7,Table1_1[#All],9,FALSE)</f>
        <v>user25@example.com</v>
      </c>
      <c r="K7" s="28"/>
      <c r="L7" s="29"/>
      <c r="M7" s="29"/>
      <c r="N7" s="29"/>
      <c r="O7" s="30"/>
    </row>
    <row r="8" spans="1:15" x14ac:dyDescent="0.3">
      <c r="A8" s="17" t="s">
        <v>35</v>
      </c>
      <c r="B8" s="12" t="str">
        <f>VLOOKUP(A8,Table1_1[#All],2,FALSE)</f>
        <v>Chris Lee</v>
      </c>
      <c r="C8" s="5" t="str">
        <f>VLOOKUP($A$2,Table1_1[#All],3,FALSE)</f>
        <v>HR</v>
      </c>
      <c r="D8" s="5" t="str">
        <f>VLOOKUP($A8,Table1_1[#All],4,FALSE)</f>
        <v>UK</v>
      </c>
      <c r="E8" s="5">
        <f>VLOOKUP($A8,Table1_1[#All],5,FALSE)</f>
        <v>91846</v>
      </c>
      <c r="F8" s="5">
        <f>VLOOKUP($A8,Table1_1[#All],7,FALSE)</f>
        <v>3</v>
      </c>
      <c r="G8" s="5" t="str">
        <f>VLOOKUP($A8,Table1_1[#All],8,FALSE)</f>
        <v>Male</v>
      </c>
      <c r="H8" s="13" t="str">
        <f>VLOOKUP($A8,Table1_1[#All],9,FALSE)</f>
        <v>user153@example.com</v>
      </c>
      <c r="K8" s="31" t="s">
        <v>218</v>
      </c>
      <c r="L8" s="32"/>
      <c r="M8" s="32"/>
      <c r="N8" s="32"/>
      <c r="O8" s="33"/>
    </row>
    <row r="9" spans="1:15" x14ac:dyDescent="0.3">
      <c r="A9" s="18" t="s">
        <v>39</v>
      </c>
      <c r="B9" s="12" t="str">
        <f>VLOOKUP(A9,Table1_1[#All],2,FALSE)</f>
        <v>Sam Wilson</v>
      </c>
      <c r="C9" s="5" t="str">
        <f>VLOOKUP($A$2,Table1_1[#All],3,FALSE)</f>
        <v>HR</v>
      </c>
      <c r="D9" s="5" t="str">
        <f>VLOOKUP($A9,Table1_1[#All],4,FALSE)</f>
        <v>UK</v>
      </c>
      <c r="E9" s="5">
        <f>VLOOKUP($A9,Table1_1[#All],5,FALSE)</f>
        <v>64247</v>
      </c>
      <c r="F9" s="5">
        <f>VLOOKUP($A9,Table1_1[#All],7,FALSE)</f>
        <v>1</v>
      </c>
      <c r="G9" s="5" t="str">
        <f>VLOOKUP($A9,Table1_1[#All],8,FALSE)</f>
        <v>Female</v>
      </c>
      <c r="H9" s="13" t="str">
        <f>VLOOKUP($A9,Table1_1[#All],9,FALSE)</f>
        <v>user18@example.com</v>
      </c>
      <c r="K9" s="28"/>
      <c r="L9" s="29"/>
      <c r="M9" s="29"/>
      <c r="N9" s="29"/>
      <c r="O9" s="30"/>
    </row>
    <row r="10" spans="1:15" ht="15" thickBot="1" x14ac:dyDescent="0.35">
      <c r="A10" s="17" t="s">
        <v>42</v>
      </c>
      <c r="B10" s="12" t="str">
        <f>VLOOKUP(A10,Table1_1[#All],2,FALSE)</f>
        <v>Sam Wilson</v>
      </c>
      <c r="C10" s="5" t="str">
        <f>VLOOKUP($A$2,Table1_1[#All],3,FALSE)</f>
        <v>HR</v>
      </c>
      <c r="D10" s="5" t="str">
        <f>VLOOKUP($A10,Table1_1[#All],4,FALSE)</f>
        <v>USA</v>
      </c>
      <c r="E10" s="5">
        <f>VLOOKUP($A10,Table1_1[#All],5,FALSE)</f>
        <v>91180</v>
      </c>
      <c r="F10" s="5">
        <f>VLOOKUP($A10,Table1_1[#All],7,FALSE)</f>
        <v>5</v>
      </c>
      <c r="G10" s="5" t="str">
        <f>VLOOKUP($A10,Table1_1[#All],8,FALSE)</f>
        <v>Male</v>
      </c>
      <c r="H10" s="13" t="str">
        <f>VLOOKUP($A10,Table1_1[#All],9,FALSE)</f>
        <v>user1@example.com</v>
      </c>
      <c r="K10" s="34" t="s">
        <v>219</v>
      </c>
      <c r="L10" s="35"/>
      <c r="M10" s="35"/>
      <c r="N10" s="35"/>
      <c r="O10" s="36"/>
    </row>
    <row r="11" spans="1:15" x14ac:dyDescent="0.3">
      <c r="A11" s="18" t="s">
        <v>44</v>
      </c>
      <c r="B11" s="12" t="str">
        <f>VLOOKUP(A11,Table1_1[#All],2,FALSE)</f>
        <v>Sam Wilson</v>
      </c>
      <c r="C11" s="5" t="str">
        <f>VLOOKUP($A$2,Table1_1[#All],3,FALSE)</f>
        <v>HR</v>
      </c>
      <c r="D11" s="5" t="str">
        <f>VLOOKUP($A11,Table1_1[#All],4,FALSE)</f>
        <v>India</v>
      </c>
      <c r="E11" s="5">
        <f>VLOOKUP($A11,Table1_1[#All],5,FALSE)</f>
        <v>62158</v>
      </c>
      <c r="F11" s="5">
        <f>VLOOKUP($A11,Table1_1[#All],7,FALSE)</f>
        <v>4</v>
      </c>
      <c r="G11" s="5" t="str">
        <f>VLOOKUP($A11,Table1_1[#All],8,FALSE)</f>
        <v>MALE</v>
      </c>
      <c r="H11" s="13" t="str">
        <f>VLOOKUP($A11,Table1_1[#All],9,FALSE)</f>
        <v>user180@example.com</v>
      </c>
    </row>
    <row r="12" spans="1:15" x14ac:dyDescent="0.3">
      <c r="A12" s="17" t="s">
        <v>47</v>
      </c>
      <c r="B12" s="12" t="str">
        <f>VLOOKUP(A12,Table1_1[#All],2,FALSE)</f>
        <v>UNKNOWN</v>
      </c>
      <c r="C12" s="5" t="str">
        <f>VLOOKUP($A$2,Table1_1[#All],3,FALSE)</f>
        <v>HR</v>
      </c>
      <c r="D12" s="5" t="str">
        <f>VLOOKUP($A12,Table1_1[#All],4,FALSE)</f>
        <v>India</v>
      </c>
      <c r="E12" s="5">
        <f>VLOOKUP($A12,Table1_1[#All],5,FALSE)</f>
        <v>92443</v>
      </c>
      <c r="F12" s="5">
        <f>VLOOKUP($A12,Table1_1[#All],7,FALSE)</f>
        <v>3</v>
      </c>
      <c r="G12" s="5" t="str">
        <f>VLOOKUP($A12,Table1_1[#All],8,FALSE)</f>
        <v>Other</v>
      </c>
      <c r="H12" s="13" t="str">
        <f>VLOOKUP($A12,Table1_1[#All],9,FALSE)</f>
        <v>user3@example.com</v>
      </c>
    </row>
    <row r="13" spans="1:15" x14ac:dyDescent="0.3">
      <c r="A13" s="18" t="s">
        <v>50</v>
      </c>
      <c r="B13" s="12" t="str">
        <f>VLOOKUP(A13,Table1_1[#All],2,FALSE)</f>
        <v>Bob Johnson</v>
      </c>
      <c r="C13" s="5" t="str">
        <f>VLOOKUP($A$2,Table1_1[#All],3,FALSE)</f>
        <v>HR</v>
      </c>
      <c r="D13" s="5" t="str">
        <f>VLOOKUP($A13,Table1_1[#All],4,FALSE)</f>
        <v>Germany</v>
      </c>
      <c r="E13" s="5">
        <f>VLOOKUP($A13,Table1_1[#All],5,FALSE)</f>
        <v>90271</v>
      </c>
      <c r="F13" s="5">
        <f>VLOOKUP($A13,Table1_1[#All],7,FALSE)</f>
        <v>3</v>
      </c>
      <c r="G13" s="5" t="str">
        <f>VLOOKUP($A13,Table1_1[#All],8,FALSE)</f>
        <v>MALE</v>
      </c>
      <c r="H13" s="13" t="str">
        <f>VLOOKUP($A13,Table1_1[#All],9,FALSE)</f>
        <v>user64@example.com</v>
      </c>
    </row>
    <row r="14" spans="1:15" x14ac:dyDescent="0.3">
      <c r="A14" s="17" t="s">
        <v>53</v>
      </c>
      <c r="B14" s="12" t="str">
        <f>VLOOKUP(A14,Table1_1[#All],2,FALSE)</f>
        <v>Jane Smith</v>
      </c>
      <c r="C14" s="5" t="str">
        <f>VLOOKUP($A$2,Table1_1[#All],3,FALSE)</f>
        <v>HR</v>
      </c>
      <c r="D14" s="5" t="str">
        <f>VLOOKUP($A14,Table1_1[#All],4,FALSE)</f>
        <v>Australia</v>
      </c>
      <c r="E14" s="5">
        <f>VLOOKUP($A14,Table1_1[#All],5,FALSE)</f>
        <v>41341</v>
      </c>
      <c r="F14" s="5">
        <f>VLOOKUP($A14,Table1_1[#All],7,FALSE)</f>
        <v>1</v>
      </c>
      <c r="G14" s="5" t="str">
        <f>VLOOKUP($A14,Table1_1[#All],8,FALSE)</f>
        <v>Other</v>
      </c>
      <c r="H14" s="13" t="str">
        <f>VLOOKUP($A14,Table1_1[#All],9,FALSE)</f>
        <v>user38@example.com</v>
      </c>
    </row>
    <row r="15" spans="1:15" x14ac:dyDescent="0.3">
      <c r="A15" s="18" t="s">
        <v>56</v>
      </c>
      <c r="B15" s="12" t="str">
        <f>VLOOKUP(A15,Table1_1[#All],2,FALSE)</f>
        <v>Alice Brown</v>
      </c>
      <c r="C15" s="5" t="str">
        <f>VLOOKUP($A$2,Table1_1[#All],3,FALSE)</f>
        <v>HR</v>
      </c>
      <c r="D15" s="5" t="str">
        <f>VLOOKUP($A15,Table1_1[#All],4,FALSE)</f>
        <v>UK</v>
      </c>
      <c r="E15" s="5">
        <f>VLOOKUP($A15,Table1_1[#All],5,FALSE)</f>
        <v>73602</v>
      </c>
      <c r="F15" s="5">
        <f>VLOOKUP($A15,Table1_1[#All],7,FALSE)</f>
        <v>3</v>
      </c>
      <c r="G15" s="5" t="str">
        <f>VLOOKUP($A15,Table1_1[#All],8,FALSE)</f>
        <v>Female</v>
      </c>
      <c r="H15" s="13" t="str">
        <f>VLOOKUP($A15,Table1_1[#All],9,FALSE)</f>
        <v>user96@example.com</v>
      </c>
    </row>
    <row r="16" spans="1:15" x14ac:dyDescent="0.3">
      <c r="A16" s="17" t="s">
        <v>58</v>
      </c>
      <c r="B16" s="12" t="str">
        <f>VLOOKUP(A16,Table1_1[#All],2,FALSE)</f>
        <v>Eve Adams</v>
      </c>
      <c r="C16" s="5" t="str">
        <f>VLOOKUP($A$2,Table1_1[#All],3,FALSE)</f>
        <v>HR</v>
      </c>
      <c r="D16" s="5" t="str">
        <f>VLOOKUP($A16,Table1_1[#All],4,FALSE)</f>
        <v>India</v>
      </c>
      <c r="E16" s="5">
        <f>VLOOKUP($A16,Table1_1[#All],5,FALSE)</f>
        <v>67531</v>
      </c>
      <c r="F16" s="5">
        <f>VLOOKUP($A16,Table1_1[#All],7,FALSE)</f>
        <v>5</v>
      </c>
      <c r="G16" s="5" t="str">
        <f>VLOOKUP($A16,Table1_1[#All],8,FALSE)</f>
        <v>Female</v>
      </c>
      <c r="H16" s="13" t="str">
        <f>VLOOKUP($A16,Table1_1[#All],9,FALSE)</f>
        <v>user151@example.com</v>
      </c>
    </row>
    <row r="17" spans="1:8" x14ac:dyDescent="0.3">
      <c r="A17" s="18" t="s">
        <v>60</v>
      </c>
      <c r="B17" s="12" t="str">
        <f>VLOOKUP(A17,Table1_1[#All],2,FALSE)</f>
        <v>Jane Smith</v>
      </c>
      <c r="C17" s="5" t="str">
        <f>VLOOKUP($A$2,Table1_1[#All],3,FALSE)</f>
        <v>HR</v>
      </c>
      <c r="D17" s="5" t="str">
        <f>VLOOKUP($A17,Table1_1[#All],4,FALSE)</f>
        <v>USA</v>
      </c>
      <c r="E17" s="5">
        <f>VLOOKUP($A17,Table1_1[#All],5,FALSE)</f>
        <v>65557</v>
      </c>
      <c r="F17" s="5">
        <f>VLOOKUP($A17,Table1_1[#All],7,FALSE)</f>
        <v>2</v>
      </c>
      <c r="G17" s="5" t="str">
        <f>VLOOKUP($A17,Table1_1[#All],8,FALSE)</f>
        <v>Other</v>
      </c>
      <c r="H17" s="13" t="str">
        <f>VLOOKUP($A17,Table1_1[#All],9,FALSE)</f>
        <v>user200@example.com</v>
      </c>
    </row>
    <row r="18" spans="1:8" x14ac:dyDescent="0.3">
      <c r="A18" s="17" t="s">
        <v>62</v>
      </c>
      <c r="B18" s="12" t="str">
        <f>VLOOKUP(A18,Table1_1[#All],2,FALSE)</f>
        <v>Eve Adams</v>
      </c>
      <c r="C18" s="5" t="str">
        <f>VLOOKUP($A$2,Table1_1[#All],3,FALSE)</f>
        <v>HR</v>
      </c>
      <c r="D18" s="5" t="str">
        <f>VLOOKUP($A18,Table1_1[#All],4,FALSE)</f>
        <v>India</v>
      </c>
      <c r="E18" s="5">
        <f>VLOOKUP($A18,Table1_1[#All],5,FALSE)</f>
        <v>38333</v>
      </c>
      <c r="F18" s="5">
        <f>VLOOKUP($A18,Table1_1[#All],7,FALSE)</f>
        <v>5</v>
      </c>
      <c r="G18" s="5" t="str">
        <f>VLOOKUP($A18,Table1_1[#All],8,FALSE)</f>
        <v>MALE</v>
      </c>
      <c r="H18" s="13" t="str">
        <f>VLOOKUP($A18,Table1_1[#All],9,FALSE)</f>
        <v>user128@example.com</v>
      </c>
    </row>
    <row r="19" spans="1:8" x14ac:dyDescent="0.3">
      <c r="A19" s="18" t="s">
        <v>64</v>
      </c>
      <c r="B19" s="12" t="str">
        <f>VLOOKUP(A19,Table1_1[#All],2,FALSE)</f>
        <v>Alice Brown</v>
      </c>
      <c r="C19" s="5" t="str">
        <f>VLOOKUP($A$2,Table1_1[#All],3,FALSE)</f>
        <v>HR</v>
      </c>
      <c r="D19" s="5" t="str">
        <f>VLOOKUP($A19,Table1_1[#All],4,FALSE)</f>
        <v>UK</v>
      </c>
      <c r="E19" s="5">
        <f>VLOOKUP($A19,Table1_1[#All],5,FALSE)</f>
        <v>36515</v>
      </c>
      <c r="F19" s="5">
        <f>VLOOKUP($A19,Table1_1[#All],7,FALSE)</f>
        <v>3</v>
      </c>
      <c r="G19" s="5" t="str">
        <f>VLOOKUP($A19,Table1_1[#All],8,FALSE)</f>
        <v>Male</v>
      </c>
      <c r="H19" s="13" t="str">
        <f>VLOOKUP($A19,Table1_1[#All],9,FALSE)</f>
        <v>user149@example.com</v>
      </c>
    </row>
    <row r="20" spans="1:8" x14ac:dyDescent="0.3">
      <c r="A20" s="17" t="s">
        <v>67</v>
      </c>
      <c r="B20" s="12" t="str">
        <f>VLOOKUP(A20,Table1_1[#All],2,FALSE)</f>
        <v>Eve Adams</v>
      </c>
      <c r="C20" s="5" t="str">
        <f>VLOOKUP($A$2,Table1_1[#All],3,FALSE)</f>
        <v>HR</v>
      </c>
      <c r="D20" s="5" t="str">
        <f>VLOOKUP($A20,Table1_1[#All],4,FALSE)</f>
        <v>Germany</v>
      </c>
      <c r="E20" s="5">
        <f>VLOOKUP($A20,Table1_1[#All],5,FALSE)</f>
        <v>76518</v>
      </c>
      <c r="F20" s="5">
        <f>VLOOKUP($A20,Table1_1[#All],7,FALSE)</f>
        <v>2</v>
      </c>
      <c r="G20" s="5" t="str">
        <f>VLOOKUP($A20,Table1_1[#All],8,FALSE)</f>
        <v>Female</v>
      </c>
      <c r="H20" s="13" t="str">
        <f>VLOOKUP($A20,Table1_1[#All],9,FALSE)</f>
        <v>user68@example.com</v>
      </c>
    </row>
    <row r="21" spans="1:8" x14ac:dyDescent="0.3">
      <c r="A21" s="18" t="s">
        <v>69</v>
      </c>
      <c r="B21" s="12" t="str">
        <f>VLOOKUP(A21,Table1_1[#All],2,FALSE)</f>
        <v>Alice Brown</v>
      </c>
      <c r="C21" s="5" t="str">
        <f>VLOOKUP($A$2,Table1_1[#All],3,FALSE)</f>
        <v>HR</v>
      </c>
      <c r="D21" s="5" t="str">
        <f>VLOOKUP($A21,Table1_1[#All],4,FALSE)</f>
        <v>UK</v>
      </c>
      <c r="E21" s="5">
        <f>VLOOKUP($A21,Table1_1[#All],5,FALSE)</f>
        <v>41448</v>
      </c>
      <c r="F21" s="5">
        <f>VLOOKUP($A21,Table1_1[#All],7,FALSE)</f>
        <v>3</v>
      </c>
      <c r="G21" s="5" t="str">
        <f>VLOOKUP($A21,Table1_1[#All],8,FALSE)</f>
        <v>Other</v>
      </c>
      <c r="H21" s="13" t="str">
        <f>VLOOKUP($A21,Table1_1[#All],9,FALSE)</f>
        <v>user103@example.com</v>
      </c>
    </row>
    <row r="22" spans="1:8" x14ac:dyDescent="0.3">
      <c r="A22" s="17" t="s">
        <v>71</v>
      </c>
      <c r="B22" s="12" t="str">
        <f>VLOOKUP(A22,Table1_1[#All],2,FALSE)</f>
        <v>John Doe</v>
      </c>
      <c r="C22" s="5" t="str">
        <f>VLOOKUP($A$2,Table1_1[#All],3,FALSE)</f>
        <v>HR</v>
      </c>
      <c r="D22" s="5" t="str">
        <f>VLOOKUP($A22,Table1_1[#All],4,FALSE)</f>
        <v>UK</v>
      </c>
      <c r="E22" s="5">
        <f>VLOOKUP($A22,Table1_1[#All],5,FALSE)</f>
        <v>49282</v>
      </c>
      <c r="F22" s="5">
        <f>VLOOKUP($A22,Table1_1[#All],7,FALSE)</f>
        <v>2</v>
      </c>
      <c r="G22" s="5" t="str">
        <f>VLOOKUP($A22,Table1_1[#All],8,FALSE)</f>
        <v>Female</v>
      </c>
      <c r="H22" s="13" t="str">
        <f>VLOOKUP($A22,Table1_1[#All],9,FALSE)</f>
        <v>user135@example.com</v>
      </c>
    </row>
    <row r="23" spans="1:8" x14ac:dyDescent="0.3">
      <c r="A23" s="18" t="s">
        <v>73</v>
      </c>
      <c r="B23" s="12" t="str">
        <f>VLOOKUP(A23,Table1_1[#All],2,FALSE)</f>
        <v>Bob Johnson</v>
      </c>
      <c r="C23" s="5" t="str">
        <f>VLOOKUP($A$2,Table1_1[#All],3,FALSE)</f>
        <v>HR</v>
      </c>
      <c r="D23" s="5" t="str">
        <f>VLOOKUP($A23,Table1_1[#All],4,FALSE)</f>
        <v>UK</v>
      </c>
      <c r="E23" s="5">
        <f>VLOOKUP($A23,Table1_1[#All],5,FALSE)</f>
        <v>92959</v>
      </c>
      <c r="F23" s="5">
        <f>VLOOKUP($A23,Table1_1[#All],7,FALSE)</f>
        <v>5</v>
      </c>
      <c r="G23" s="5" t="str">
        <f>VLOOKUP($A23,Table1_1[#All],8,FALSE)</f>
        <v>MALE</v>
      </c>
      <c r="H23" s="13" t="str">
        <f>VLOOKUP($A23,Table1_1[#All],9,FALSE)</f>
        <v>user83@example.com</v>
      </c>
    </row>
    <row r="24" spans="1:8" x14ac:dyDescent="0.3">
      <c r="A24" s="17" t="s">
        <v>75</v>
      </c>
      <c r="B24" s="12" t="str">
        <f>VLOOKUP(A24,Table1_1[#All],2,FALSE)</f>
        <v>Eve Adams</v>
      </c>
      <c r="C24" s="5" t="str">
        <f>VLOOKUP($A$2,Table1_1[#All],3,FALSE)</f>
        <v>HR</v>
      </c>
      <c r="D24" s="5" t="str">
        <f>VLOOKUP($A24,Table1_1[#All],4,FALSE)</f>
        <v>Germany</v>
      </c>
      <c r="E24" s="5">
        <f>VLOOKUP($A24,Table1_1[#All],5,FALSE)</f>
        <v>92299</v>
      </c>
      <c r="F24" s="5">
        <f>VLOOKUP($A24,Table1_1[#All],7,FALSE)</f>
        <v>3</v>
      </c>
      <c r="G24" s="5" t="str">
        <f>VLOOKUP($A24,Table1_1[#All],8,FALSE)</f>
        <v>Male</v>
      </c>
      <c r="H24" s="13" t="str">
        <f>VLOOKUP($A24,Table1_1[#All],9,FALSE)</f>
        <v>user143@example.com</v>
      </c>
    </row>
    <row r="25" spans="1:8" x14ac:dyDescent="0.3">
      <c r="A25" s="18" t="s">
        <v>77</v>
      </c>
      <c r="B25" s="12" t="str">
        <f>VLOOKUP(A25,Table1_1[#All],2,FALSE)</f>
        <v>Chris Lee</v>
      </c>
      <c r="C25" s="5" t="str">
        <f>VLOOKUP($A$2,Table1_1[#All],3,FALSE)</f>
        <v>HR</v>
      </c>
      <c r="D25" s="5" t="str">
        <f>VLOOKUP($A25,Table1_1[#All],4,FALSE)</f>
        <v>USA</v>
      </c>
      <c r="E25" s="5">
        <f>VLOOKUP($A25,Table1_1[#All],5,FALSE)</f>
        <v>95367</v>
      </c>
      <c r="F25" s="5">
        <f>VLOOKUP($A25,Table1_1[#All],7,FALSE)</f>
        <v>3</v>
      </c>
      <c r="G25" s="5" t="str">
        <f>VLOOKUP($A25,Table1_1[#All],8,FALSE)</f>
        <v>Male</v>
      </c>
      <c r="H25" s="13" t="str">
        <f>VLOOKUP($A25,Table1_1[#All],9,FALSE)</f>
        <v>user136@example.com</v>
      </c>
    </row>
    <row r="26" spans="1:8" x14ac:dyDescent="0.3">
      <c r="A26" s="17" t="s">
        <v>79</v>
      </c>
      <c r="B26" s="12" t="str">
        <f>VLOOKUP(A26,Table1_1[#All],2,FALSE)</f>
        <v>John Doe</v>
      </c>
      <c r="C26" s="5" t="str">
        <f>VLOOKUP($A$2,Table1_1[#All],3,FALSE)</f>
        <v>HR</v>
      </c>
      <c r="D26" s="5" t="str">
        <f>VLOOKUP($A26,Table1_1[#All],4,FALSE)</f>
        <v>Australia</v>
      </c>
      <c r="E26" s="5">
        <f>VLOOKUP($A26,Table1_1[#All],5,FALSE)</f>
        <v>79549</v>
      </c>
      <c r="F26" s="5">
        <f>VLOOKUP($A26,Table1_1[#All],7,FALSE)</f>
        <v>3</v>
      </c>
      <c r="G26" s="5" t="str">
        <f>VLOOKUP($A26,Table1_1[#All],8,FALSE)</f>
        <v>MALE</v>
      </c>
      <c r="H26" s="13" t="str">
        <f>VLOOKUP($A26,Table1_1[#All],9,FALSE)</f>
        <v>user198@example.com</v>
      </c>
    </row>
    <row r="27" spans="1:8" x14ac:dyDescent="0.3">
      <c r="A27" s="18" t="s">
        <v>81</v>
      </c>
      <c r="B27" s="12" t="str">
        <f>VLOOKUP(A27,Table1_1[#All],2,FALSE)</f>
        <v>Alice Brown</v>
      </c>
      <c r="C27" s="5" t="str">
        <f>VLOOKUP($A$2,Table1_1[#All],3,FALSE)</f>
        <v>HR</v>
      </c>
      <c r="D27" s="5" t="str">
        <f>VLOOKUP($A27,Table1_1[#All],4,FALSE)</f>
        <v>USA</v>
      </c>
      <c r="E27" s="5">
        <f>VLOOKUP($A27,Table1_1[#All],5,FALSE)</f>
        <v>89781</v>
      </c>
      <c r="F27" s="5">
        <f>VLOOKUP($A27,Table1_1[#All],7,FALSE)</f>
        <v>3</v>
      </c>
      <c r="G27" s="5" t="str">
        <f>VLOOKUP($A27,Table1_1[#All],8,FALSE)</f>
        <v>Female</v>
      </c>
      <c r="H27" s="13" t="str">
        <f>VLOOKUP($A27,Table1_1[#All],9,FALSE)</f>
        <v>user31@example.com</v>
      </c>
    </row>
    <row r="28" spans="1:8" x14ac:dyDescent="0.3">
      <c r="A28" s="17" t="s">
        <v>83</v>
      </c>
      <c r="B28" s="12" t="str">
        <f>VLOOKUP(A28,Table1_1[#All],2,FALSE)</f>
        <v>John Doe</v>
      </c>
      <c r="C28" s="5" t="str">
        <f>VLOOKUP($A$2,Table1_1[#All],3,FALSE)</f>
        <v>HR</v>
      </c>
      <c r="D28" s="5" t="str">
        <f>VLOOKUP($A28,Table1_1[#All],4,FALSE)</f>
        <v>UK</v>
      </c>
      <c r="E28" s="5">
        <f>VLOOKUP($A28,Table1_1[#All],5,FALSE)</f>
        <v>52093</v>
      </c>
      <c r="F28" s="5">
        <f>VLOOKUP($A28,Table1_1[#All],7,FALSE)</f>
        <v>5</v>
      </c>
      <c r="G28" s="5" t="str">
        <f>VLOOKUP($A28,Table1_1[#All],8,FALSE)</f>
        <v>MALE</v>
      </c>
      <c r="H28" s="13" t="str">
        <f>VLOOKUP($A28,Table1_1[#All],9,FALSE)</f>
        <v>user154@example.com</v>
      </c>
    </row>
    <row r="29" spans="1:8" x14ac:dyDescent="0.3">
      <c r="A29" s="18" t="s">
        <v>85</v>
      </c>
      <c r="B29" s="12" t="str">
        <f>VLOOKUP(A29,Table1_1[#All],2,FALSE)</f>
        <v>Chris Lee</v>
      </c>
      <c r="C29" s="5" t="str">
        <f>VLOOKUP($A$2,Table1_1[#All],3,FALSE)</f>
        <v>HR</v>
      </c>
      <c r="D29" s="5" t="str">
        <f>VLOOKUP($A29,Table1_1[#All],4,FALSE)</f>
        <v>UK</v>
      </c>
      <c r="E29" s="5">
        <f>VLOOKUP($A29,Table1_1[#All],5,FALSE)</f>
        <v>48224</v>
      </c>
      <c r="F29" s="5">
        <f>VLOOKUP($A29,Table1_1[#All],7,FALSE)</f>
        <v>3</v>
      </c>
      <c r="G29" s="5" t="str">
        <f>VLOOKUP($A29,Table1_1[#All],8,FALSE)</f>
        <v>MALE</v>
      </c>
      <c r="H29" s="13" t="str">
        <f>VLOOKUP($A29,Table1_1[#All],9,FALSE)</f>
        <v>user42@example.com</v>
      </c>
    </row>
    <row r="30" spans="1:8" x14ac:dyDescent="0.3">
      <c r="A30" s="17" t="s">
        <v>87</v>
      </c>
      <c r="B30" s="12" t="str">
        <f>VLOOKUP(A30,Table1_1[#All],2,FALSE)</f>
        <v>Alice Brown</v>
      </c>
      <c r="C30" s="5" t="str">
        <f>VLOOKUP($A$2,Table1_1[#All],3,FALSE)</f>
        <v>HR</v>
      </c>
      <c r="D30" s="5" t="str">
        <f>VLOOKUP($A30,Table1_1[#All],4,FALSE)</f>
        <v>Germany</v>
      </c>
      <c r="E30" s="5">
        <f>VLOOKUP($A30,Table1_1[#All],5,FALSE)</f>
        <v>33956</v>
      </c>
      <c r="F30" s="5">
        <f>VLOOKUP($A30,Table1_1[#All],7,FALSE)</f>
        <v>3</v>
      </c>
      <c r="G30" s="5" t="str">
        <f>VLOOKUP($A30,Table1_1[#All],8,FALSE)</f>
        <v>Female</v>
      </c>
      <c r="H30" s="13" t="str">
        <f>VLOOKUP($A30,Table1_1[#All],9,FALSE)</f>
        <v>user47@example.com</v>
      </c>
    </row>
    <row r="31" spans="1:8" x14ac:dyDescent="0.3">
      <c r="A31" s="18" t="s">
        <v>89</v>
      </c>
      <c r="B31" s="12" t="str">
        <f>VLOOKUP(A31,Table1_1[#All],2,FALSE)</f>
        <v>Bob Johnson</v>
      </c>
      <c r="C31" s="5" t="str">
        <f>VLOOKUP($A$2,Table1_1[#All],3,FALSE)</f>
        <v>HR</v>
      </c>
      <c r="D31" s="5" t="str">
        <f>VLOOKUP($A31,Table1_1[#All],4,FALSE)</f>
        <v>Australia</v>
      </c>
      <c r="E31" s="5">
        <f>VLOOKUP($A31,Table1_1[#All],5,FALSE)</f>
        <v>64913</v>
      </c>
      <c r="F31" s="5">
        <f>VLOOKUP($A31,Table1_1[#All],7,FALSE)</f>
        <v>1</v>
      </c>
      <c r="G31" s="5" t="str">
        <f>VLOOKUP($A31,Table1_1[#All],8,FALSE)</f>
        <v>Female</v>
      </c>
      <c r="H31" s="13" t="str">
        <f>VLOOKUP($A31,Table1_1[#All],9,FALSE)</f>
        <v>user175@example.com</v>
      </c>
    </row>
    <row r="32" spans="1:8" x14ac:dyDescent="0.3">
      <c r="A32" s="17" t="s">
        <v>91</v>
      </c>
      <c r="B32" s="12" t="str">
        <f>VLOOKUP(A32,Table1_1[#All],2,FALSE)</f>
        <v>Alice Brown</v>
      </c>
      <c r="C32" s="5" t="str">
        <f>VLOOKUP($A$2,Table1_1[#All],3,FALSE)</f>
        <v>HR</v>
      </c>
      <c r="D32" s="5" t="str">
        <f>VLOOKUP($A32,Table1_1[#All],4,FALSE)</f>
        <v>Australia</v>
      </c>
      <c r="E32" s="5">
        <f>VLOOKUP($A32,Table1_1[#All],5,FALSE)</f>
        <v>35326</v>
      </c>
      <c r="F32" s="5">
        <f>VLOOKUP($A32,Table1_1[#All],7,FALSE)</f>
        <v>3</v>
      </c>
      <c r="G32" s="5" t="str">
        <f>VLOOKUP($A32,Table1_1[#All],8,FALSE)</f>
        <v>Female</v>
      </c>
      <c r="H32" s="13" t="str">
        <f>VLOOKUP($A32,Table1_1[#All],9,FALSE)</f>
        <v>user57@example.com</v>
      </c>
    </row>
    <row r="33" spans="1:8" x14ac:dyDescent="0.3">
      <c r="A33" s="18" t="s">
        <v>93</v>
      </c>
      <c r="B33" s="12" t="str">
        <f>VLOOKUP(A33,Table1_1[#All],2,FALSE)</f>
        <v>Chris Lee</v>
      </c>
      <c r="C33" s="5" t="str">
        <f>VLOOKUP($A$2,Table1_1[#All],3,FALSE)</f>
        <v>HR</v>
      </c>
      <c r="D33" s="5" t="str">
        <f>VLOOKUP($A33,Table1_1[#All],4,FALSE)</f>
        <v>Germany</v>
      </c>
      <c r="E33" s="5">
        <f>VLOOKUP($A33,Table1_1[#All],5,FALSE)</f>
        <v>92701</v>
      </c>
      <c r="F33" s="5">
        <f>VLOOKUP($A33,Table1_1[#All],7,FALSE)</f>
        <v>3</v>
      </c>
      <c r="G33" s="5" t="str">
        <f>VLOOKUP($A33,Table1_1[#All],8,FALSE)</f>
        <v>Other</v>
      </c>
      <c r="H33" s="13" t="str">
        <f>VLOOKUP($A33,Table1_1[#All],9,FALSE)</f>
        <v>user199@example.com</v>
      </c>
    </row>
    <row r="34" spans="1:8" x14ac:dyDescent="0.3">
      <c r="A34" s="17" t="s">
        <v>95</v>
      </c>
      <c r="B34" s="12" t="str">
        <f>VLOOKUP(A34,Table1_1[#All],2,FALSE)</f>
        <v>Chris Lee</v>
      </c>
      <c r="C34" s="5" t="str">
        <f>VLOOKUP($A$2,Table1_1[#All],3,FALSE)</f>
        <v>HR</v>
      </c>
      <c r="D34" s="5" t="str">
        <f>VLOOKUP($A34,Table1_1[#All],4,FALSE)</f>
        <v>India</v>
      </c>
      <c r="E34" s="5">
        <f>VLOOKUP($A34,Table1_1[#All],5,FALSE)</f>
        <v>58245</v>
      </c>
      <c r="F34" s="5">
        <f>VLOOKUP($A34,Table1_1[#All],7,FALSE)</f>
        <v>4</v>
      </c>
      <c r="G34" s="5" t="str">
        <f>VLOOKUP($A34,Table1_1[#All],8,FALSE)</f>
        <v>MALE</v>
      </c>
      <c r="H34" s="13" t="str">
        <f>VLOOKUP($A34,Table1_1[#All],9,FALSE)</f>
        <v>user43@example.com</v>
      </c>
    </row>
    <row r="35" spans="1:8" x14ac:dyDescent="0.3">
      <c r="A35" s="18" t="s">
        <v>97</v>
      </c>
      <c r="B35" s="12" t="str">
        <f>VLOOKUP(A35,Table1_1[#All],2,FALSE)</f>
        <v>Eve Adams</v>
      </c>
      <c r="C35" s="5" t="str">
        <f>VLOOKUP($A$2,Table1_1[#All],3,FALSE)</f>
        <v>HR</v>
      </c>
      <c r="D35" s="5" t="str">
        <f>VLOOKUP($A35,Table1_1[#All],4,FALSE)</f>
        <v>Germany</v>
      </c>
      <c r="E35" s="5">
        <f>VLOOKUP($A35,Table1_1[#All],5,FALSE)</f>
        <v>78720</v>
      </c>
      <c r="F35" s="5">
        <f>VLOOKUP($A35,Table1_1[#All],7,FALSE)</f>
        <v>5</v>
      </c>
      <c r="G35" s="5" t="str">
        <f>VLOOKUP($A35,Table1_1[#All],8,FALSE)</f>
        <v>Female</v>
      </c>
      <c r="H35" s="13" t="str">
        <f>VLOOKUP($A35,Table1_1[#All],9,FALSE)</f>
        <v>user89@example.com</v>
      </c>
    </row>
    <row r="36" spans="1:8" x14ac:dyDescent="0.3">
      <c r="A36" s="17" t="s">
        <v>99</v>
      </c>
      <c r="B36" s="12" t="str">
        <f>VLOOKUP(A36,Table1_1[#All],2,FALSE)</f>
        <v>Sam Wilson</v>
      </c>
      <c r="C36" s="5" t="str">
        <f>VLOOKUP($A$2,Table1_1[#All],3,FALSE)</f>
        <v>HR</v>
      </c>
      <c r="D36" s="5" t="str">
        <f>VLOOKUP($A36,Table1_1[#All],4,FALSE)</f>
        <v>India</v>
      </c>
      <c r="E36" s="5">
        <f>VLOOKUP($A36,Table1_1[#All],5,FALSE)</f>
        <v>39423</v>
      </c>
      <c r="F36" s="5">
        <f>VLOOKUP($A36,Table1_1[#All],7,FALSE)</f>
        <v>5</v>
      </c>
      <c r="G36" s="5" t="str">
        <f>VLOOKUP($A36,Table1_1[#All],8,FALSE)</f>
        <v>MALE</v>
      </c>
      <c r="H36" s="13" t="str">
        <f>VLOOKUP($A36,Table1_1[#All],9,FALSE)</f>
        <v>user59@example.com</v>
      </c>
    </row>
    <row r="37" spans="1:8" x14ac:dyDescent="0.3">
      <c r="A37" s="18" t="s">
        <v>101</v>
      </c>
      <c r="B37" s="12" t="str">
        <f>VLOOKUP(A37,Table1_1[#All],2,FALSE)</f>
        <v>Eve Adams</v>
      </c>
      <c r="C37" s="5" t="str">
        <f>VLOOKUP($A$2,Table1_1[#All],3,FALSE)</f>
        <v>HR</v>
      </c>
      <c r="D37" s="5" t="str">
        <f>VLOOKUP($A37,Table1_1[#All],4,FALSE)</f>
        <v>UK</v>
      </c>
      <c r="E37" s="5">
        <f>VLOOKUP($A37,Table1_1[#All],5,FALSE)</f>
        <v>33352</v>
      </c>
      <c r="F37" s="5">
        <f>VLOOKUP($A37,Table1_1[#All],7,FALSE)</f>
        <v>3</v>
      </c>
      <c r="G37" s="5" t="str">
        <f>VLOOKUP($A37,Table1_1[#All],8,FALSE)</f>
        <v>Female</v>
      </c>
      <c r="H37" s="13" t="str">
        <f>VLOOKUP($A37,Table1_1[#All],9,FALSE)</f>
        <v>user200@example.com</v>
      </c>
    </row>
    <row r="38" spans="1:8" x14ac:dyDescent="0.3">
      <c r="A38" s="17" t="s">
        <v>102</v>
      </c>
      <c r="B38" s="12" t="str">
        <f>VLOOKUP(A38,Table1_1[#All],2,FALSE)</f>
        <v>Bob Johnson</v>
      </c>
      <c r="C38" s="5" t="str">
        <f>VLOOKUP($A$2,Table1_1[#All],3,FALSE)</f>
        <v>HR</v>
      </c>
      <c r="D38" s="5" t="str">
        <f>VLOOKUP($A38,Table1_1[#All],4,FALSE)</f>
        <v>UK</v>
      </c>
      <c r="E38" s="5">
        <f>VLOOKUP($A38,Table1_1[#All],5,FALSE)</f>
        <v>75633</v>
      </c>
      <c r="F38" s="5">
        <f>VLOOKUP($A38,Table1_1[#All],7,FALSE)</f>
        <v>5</v>
      </c>
      <c r="G38" s="5" t="str">
        <f>VLOOKUP($A38,Table1_1[#All],8,FALSE)</f>
        <v>Other</v>
      </c>
      <c r="H38" s="13" t="str">
        <f>VLOOKUP($A38,Table1_1[#All],9,FALSE)</f>
        <v>user92@example.com</v>
      </c>
    </row>
    <row r="39" spans="1:8" x14ac:dyDescent="0.3">
      <c r="A39" s="18" t="s">
        <v>104</v>
      </c>
      <c r="B39" s="12" t="str">
        <f>VLOOKUP(A39,Table1_1[#All],2,FALSE)</f>
        <v>Chris Lee</v>
      </c>
      <c r="C39" s="5" t="str">
        <f>VLOOKUP($A$2,Table1_1[#All],3,FALSE)</f>
        <v>HR</v>
      </c>
      <c r="D39" s="5" t="str">
        <f>VLOOKUP($A39,Table1_1[#All],4,FALSE)</f>
        <v>USA</v>
      </c>
      <c r="E39" s="5">
        <f>VLOOKUP($A39,Table1_1[#All],5,FALSE)</f>
        <v>74815</v>
      </c>
      <c r="F39" s="5">
        <f>VLOOKUP($A39,Table1_1[#All],7,FALSE)</f>
        <v>5</v>
      </c>
      <c r="G39" s="5" t="str">
        <f>VLOOKUP($A39,Table1_1[#All],8,FALSE)</f>
        <v>Female</v>
      </c>
      <c r="H39" s="13" t="str">
        <f>VLOOKUP($A39,Table1_1[#All],9,FALSE)</f>
        <v>user50@example.com</v>
      </c>
    </row>
    <row r="40" spans="1:8" x14ac:dyDescent="0.3">
      <c r="A40" s="17" t="s">
        <v>106</v>
      </c>
      <c r="B40" s="12" t="str">
        <f>VLOOKUP(A40,Table1_1[#All],2,FALSE)</f>
        <v>John Doe</v>
      </c>
      <c r="C40" s="5" t="str">
        <f>VLOOKUP($A$2,Table1_1[#All],3,FALSE)</f>
        <v>HR</v>
      </c>
      <c r="D40" s="5" t="str">
        <f>VLOOKUP($A40,Table1_1[#All],4,FALSE)</f>
        <v>Australia</v>
      </c>
      <c r="E40" s="5">
        <f>VLOOKUP($A40,Table1_1[#All],5,FALSE)</f>
        <v>60011</v>
      </c>
      <c r="F40" s="5">
        <f>VLOOKUP($A40,Table1_1[#All],7,FALSE)</f>
        <v>1</v>
      </c>
      <c r="G40" s="5" t="str">
        <f>VLOOKUP($A40,Table1_1[#All],8,FALSE)</f>
        <v>Male</v>
      </c>
      <c r="H40" s="13" t="str">
        <f>VLOOKUP($A40,Table1_1[#All],9,FALSE)</f>
        <v>user63@example.com</v>
      </c>
    </row>
    <row r="41" spans="1:8" x14ac:dyDescent="0.3">
      <c r="A41" s="18" t="s">
        <v>108</v>
      </c>
      <c r="B41" s="12" t="str">
        <f>VLOOKUP(A41,Table1_1[#All],2,FALSE)</f>
        <v>Eve Adams</v>
      </c>
      <c r="C41" s="5" t="str">
        <f>VLOOKUP($A$2,Table1_1[#All],3,FALSE)</f>
        <v>HR</v>
      </c>
      <c r="D41" s="5" t="str">
        <f>VLOOKUP($A41,Table1_1[#All],4,FALSE)</f>
        <v>India</v>
      </c>
      <c r="E41" s="5">
        <f>VLOOKUP($A41,Table1_1[#All],5,FALSE)</f>
        <v>96949</v>
      </c>
      <c r="F41" s="5">
        <f>VLOOKUP($A41,Table1_1[#All],7,FALSE)</f>
        <v>3</v>
      </c>
      <c r="G41" s="5" t="str">
        <f>VLOOKUP($A41,Table1_1[#All],8,FALSE)</f>
        <v>MALE</v>
      </c>
      <c r="H41" s="13" t="str">
        <f>VLOOKUP($A41,Table1_1[#All],9,FALSE)</f>
        <v>user103@example.com</v>
      </c>
    </row>
    <row r="42" spans="1:8" x14ac:dyDescent="0.3">
      <c r="A42" s="17" t="s">
        <v>109</v>
      </c>
      <c r="B42" s="12" t="str">
        <f>VLOOKUP(A42,Table1_1[#All],2,FALSE)</f>
        <v>Sam Wilson</v>
      </c>
      <c r="C42" s="5" t="str">
        <f>VLOOKUP($A$2,Table1_1[#All],3,FALSE)</f>
        <v>HR</v>
      </c>
      <c r="D42" s="5" t="str">
        <f>VLOOKUP($A42,Table1_1[#All],4,FALSE)</f>
        <v>USA</v>
      </c>
      <c r="E42" s="5">
        <f>VLOOKUP($A42,Table1_1[#All],5,FALSE)</f>
        <v>82033</v>
      </c>
      <c r="F42" s="5">
        <f>VLOOKUP($A42,Table1_1[#All],7,FALSE)</f>
        <v>1</v>
      </c>
      <c r="G42" s="5" t="str">
        <f>VLOOKUP($A42,Table1_1[#All],8,FALSE)</f>
        <v>MALE</v>
      </c>
      <c r="H42" s="13" t="str">
        <f>VLOOKUP($A42,Table1_1[#All],9,FALSE)</f>
        <v>user20@example.com</v>
      </c>
    </row>
    <row r="43" spans="1:8" x14ac:dyDescent="0.3">
      <c r="A43" s="18" t="s">
        <v>111</v>
      </c>
      <c r="B43" s="12" t="str">
        <f>VLOOKUP(A43,Table1_1[#All],2,FALSE)</f>
        <v>Eve Adams</v>
      </c>
      <c r="C43" s="5" t="str">
        <f>VLOOKUP($A$2,Table1_1[#All],3,FALSE)</f>
        <v>HR</v>
      </c>
      <c r="D43" s="5" t="str">
        <f>VLOOKUP($A43,Table1_1[#All],4,FALSE)</f>
        <v>Australia</v>
      </c>
      <c r="E43" s="5">
        <f>VLOOKUP($A43,Table1_1[#All],5,FALSE)</f>
        <v>31499</v>
      </c>
      <c r="F43" s="5">
        <f>VLOOKUP($A43,Table1_1[#All],7,FALSE)</f>
        <v>2</v>
      </c>
      <c r="G43" s="5" t="str">
        <f>VLOOKUP($A43,Table1_1[#All],8,FALSE)</f>
        <v>MALE</v>
      </c>
      <c r="H43" s="13" t="str">
        <f>VLOOKUP($A43,Table1_1[#All],9,FALSE)</f>
        <v>user31@example.com</v>
      </c>
    </row>
    <row r="44" spans="1:8" x14ac:dyDescent="0.3">
      <c r="A44" s="17" t="s">
        <v>112</v>
      </c>
      <c r="B44" s="12" t="str">
        <f>VLOOKUP(A44,Table1_1[#All],2,FALSE)</f>
        <v>Chris Lee</v>
      </c>
      <c r="C44" s="5" t="str">
        <f>VLOOKUP($A$2,Table1_1[#All],3,FALSE)</f>
        <v>HR</v>
      </c>
      <c r="D44" s="5" t="str">
        <f>VLOOKUP($A44,Table1_1[#All],4,FALSE)</f>
        <v>UK</v>
      </c>
      <c r="E44" s="5">
        <f>VLOOKUP($A44,Table1_1[#All],5,FALSE)</f>
        <v>97981</v>
      </c>
      <c r="F44" s="5">
        <f>VLOOKUP($A44,Table1_1[#All],7,FALSE)</f>
        <v>5</v>
      </c>
      <c r="G44" s="5" t="str">
        <f>VLOOKUP($A44,Table1_1[#All],8,FALSE)</f>
        <v>Female</v>
      </c>
      <c r="H44" s="13" t="str">
        <f>VLOOKUP($A44,Table1_1[#All],9,FALSE)</f>
        <v>user71@example.com</v>
      </c>
    </row>
    <row r="45" spans="1:8" x14ac:dyDescent="0.3">
      <c r="A45" s="18" t="s">
        <v>114</v>
      </c>
      <c r="B45" s="12" t="str">
        <f>VLOOKUP(A45,Table1_1[#All],2,FALSE)</f>
        <v>Eve Adams</v>
      </c>
      <c r="C45" s="5" t="str">
        <f>VLOOKUP($A$2,Table1_1[#All],3,FALSE)</f>
        <v>HR</v>
      </c>
      <c r="D45" s="5" t="str">
        <f>VLOOKUP($A45,Table1_1[#All],4,FALSE)</f>
        <v>USA</v>
      </c>
      <c r="E45" s="5">
        <f>VLOOKUP($A45,Table1_1[#All],5,FALSE)</f>
        <v>36541</v>
      </c>
      <c r="F45" s="5">
        <f>VLOOKUP($A45,Table1_1[#All],7,FALSE)</f>
        <v>2</v>
      </c>
      <c r="G45" s="5" t="str">
        <f>VLOOKUP($A45,Table1_1[#All],8,FALSE)</f>
        <v>Other</v>
      </c>
      <c r="H45" s="13" t="str">
        <f>VLOOKUP($A45,Table1_1[#All],9,FALSE)</f>
        <v>user97@example.com</v>
      </c>
    </row>
    <row r="46" spans="1:8" x14ac:dyDescent="0.3">
      <c r="A46" s="17" t="s">
        <v>116</v>
      </c>
      <c r="B46" s="12" t="str">
        <f>VLOOKUP(A46,Table1_1[#All],2,FALSE)</f>
        <v>John Doe</v>
      </c>
      <c r="C46" s="5" t="str">
        <f>VLOOKUP($A$2,Table1_1[#All],3,FALSE)</f>
        <v>HR</v>
      </c>
      <c r="D46" s="5" t="str">
        <f>VLOOKUP($A46,Table1_1[#All],4,FALSE)</f>
        <v>India</v>
      </c>
      <c r="E46" s="5">
        <f>VLOOKUP($A46,Table1_1[#All],5,FALSE)</f>
        <v>84737</v>
      </c>
      <c r="F46" s="5">
        <f>VLOOKUP($A46,Table1_1[#All],7,FALSE)</f>
        <v>1</v>
      </c>
      <c r="G46" s="5" t="str">
        <f>VLOOKUP($A46,Table1_1[#All],8,FALSE)</f>
        <v>Male</v>
      </c>
      <c r="H46" s="13" t="str">
        <f>VLOOKUP($A46,Table1_1[#All],9,FALSE)</f>
        <v>user141@example.com</v>
      </c>
    </row>
    <row r="47" spans="1:8" x14ac:dyDescent="0.3">
      <c r="A47" s="18" t="s">
        <v>118</v>
      </c>
      <c r="B47" s="12" t="str">
        <f>VLOOKUP(A47,Table1_1[#All],2,FALSE)</f>
        <v>Sam Wilson</v>
      </c>
      <c r="C47" s="5" t="str">
        <f>VLOOKUP($A$2,Table1_1[#All],3,FALSE)</f>
        <v>HR</v>
      </c>
      <c r="D47" s="5" t="str">
        <f>VLOOKUP($A47,Table1_1[#All],4,FALSE)</f>
        <v>India</v>
      </c>
      <c r="E47" s="5">
        <f>VLOOKUP($A47,Table1_1[#All],5,FALSE)</f>
        <v>33468</v>
      </c>
      <c r="F47" s="5">
        <f>VLOOKUP($A47,Table1_1[#All],7,FALSE)</f>
        <v>4</v>
      </c>
      <c r="G47" s="5" t="str">
        <f>VLOOKUP($A47,Table1_1[#All],8,FALSE)</f>
        <v>Male</v>
      </c>
      <c r="H47" s="13" t="str">
        <f>VLOOKUP($A47,Table1_1[#All],9,FALSE)</f>
        <v>user125@example.com</v>
      </c>
    </row>
    <row r="48" spans="1:8" x14ac:dyDescent="0.3">
      <c r="A48" s="17" t="s">
        <v>120</v>
      </c>
      <c r="B48" s="12" t="str">
        <f>VLOOKUP(A48,Table1_1[#All],2,FALSE)</f>
        <v>Sam Wilson</v>
      </c>
      <c r="C48" s="5" t="str">
        <f>VLOOKUP($A$2,Table1_1[#All],3,FALSE)</f>
        <v>HR</v>
      </c>
      <c r="D48" s="5" t="str">
        <f>VLOOKUP($A48,Table1_1[#All],4,FALSE)</f>
        <v>Australia</v>
      </c>
      <c r="E48" s="5">
        <f>VLOOKUP($A48,Table1_1[#All],5,FALSE)</f>
        <v>96365</v>
      </c>
      <c r="F48" s="5">
        <f>VLOOKUP($A48,Table1_1[#All],7,FALSE)</f>
        <v>3</v>
      </c>
      <c r="G48" s="5" t="str">
        <f>VLOOKUP($A48,Table1_1[#All],8,FALSE)</f>
        <v>Other</v>
      </c>
      <c r="H48" s="13" t="str">
        <f>VLOOKUP($A48,Table1_1[#All],9,FALSE)</f>
        <v>user90@example.com</v>
      </c>
    </row>
    <row r="49" spans="1:8" x14ac:dyDescent="0.3">
      <c r="A49" s="18" t="s">
        <v>122</v>
      </c>
      <c r="B49" s="12" t="str">
        <f>VLOOKUP(A49,Table1_1[#All],2,FALSE)</f>
        <v>Alice Brown</v>
      </c>
      <c r="C49" s="5" t="str">
        <f>VLOOKUP($A$2,Table1_1[#All],3,FALSE)</f>
        <v>HR</v>
      </c>
      <c r="D49" s="5" t="str">
        <f>VLOOKUP($A49,Table1_1[#All],4,FALSE)</f>
        <v>India</v>
      </c>
      <c r="E49" s="5">
        <f>VLOOKUP($A49,Table1_1[#All],5,FALSE)</f>
        <v>61942</v>
      </c>
      <c r="F49" s="5">
        <f>VLOOKUP($A49,Table1_1[#All],7,FALSE)</f>
        <v>3</v>
      </c>
      <c r="G49" s="5" t="str">
        <f>VLOOKUP($A49,Table1_1[#All],8,FALSE)</f>
        <v>Female</v>
      </c>
      <c r="H49" s="13" t="str">
        <f>VLOOKUP($A49,Table1_1[#All],9,FALSE)</f>
        <v>user192@example.com</v>
      </c>
    </row>
    <row r="50" spans="1:8" x14ac:dyDescent="0.3">
      <c r="A50" s="17" t="s">
        <v>124</v>
      </c>
      <c r="B50" s="12" t="str">
        <f>VLOOKUP(A50,Table1_1[#All],2,FALSE)</f>
        <v>Sam Wilson</v>
      </c>
      <c r="C50" s="5" t="str">
        <f>VLOOKUP($A$2,Table1_1[#All],3,FALSE)</f>
        <v>HR</v>
      </c>
      <c r="D50" s="5" t="str">
        <f>VLOOKUP($A50,Table1_1[#All],4,FALSE)</f>
        <v>UK</v>
      </c>
      <c r="E50" s="5">
        <f>VLOOKUP($A50,Table1_1[#All],5,FALSE)</f>
        <v>41467</v>
      </c>
      <c r="F50" s="5">
        <f>VLOOKUP($A50,Table1_1[#All],7,FALSE)</f>
        <v>2</v>
      </c>
      <c r="G50" s="5" t="str">
        <f>VLOOKUP($A50,Table1_1[#All],8,FALSE)</f>
        <v>MALE</v>
      </c>
      <c r="H50" s="13" t="str">
        <f>VLOOKUP($A50,Table1_1[#All],9,FALSE)</f>
        <v>user77@example.com</v>
      </c>
    </row>
    <row r="51" spans="1:8" x14ac:dyDescent="0.3">
      <c r="A51" s="18" t="s">
        <v>126</v>
      </c>
      <c r="B51" s="12" t="str">
        <f>VLOOKUP(A51,Table1_1[#All],2,FALSE)</f>
        <v>Bob Johnson</v>
      </c>
      <c r="C51" s="5" t="str">
        <f>VLOOKUP($A$2,Table1_1[#All],3,FALSE)</f>
        <v>HR</v>
      </c>
      <c r="D51" s="5" t="str">
        <f>VLOOKUP($A51,Table1_1[#All],4,FALSE)</f>
        <v>India</v>
      </c>
      <c r="E51" s="5">
        <f>VLOOKUP($A51,Table1_1[#All],5,FALSE)</f>
        <v>77096</v>
      </c>
      <c r="F51" s="5">
        <f>VLOOKUP($A51,Table1_1[#All],7,FALSE)</f>
        <v>1</v>
      </c>
      <c r="G51" s="5" t="str">
        <f>VLOOKUP($A51,Table1_1[#All],8,FALSE)</f>
        <v>MALE</v>
      </c>
      <c r="H51" s="13" t="str">
        <f>VLOOKUP($A51,Table1_1[#All],9,FALSE)</f>
        <v>user65@example.com</v>
      </c>
    </row>
    <row r="52" spans="1:8" x14ac:dyDescent="0.3">
      <c r="A52" s="17" t="s">
        <v>128</v>
      </c>
      <c r="B52" s="12" t="str">
        <f>VLOOKUP(A52,Table1_1[#All],2,FALSE)</f>
        <v>Eve Adams</v>
      </c>
      <c r="C52" s="5" t="str">
        <f>VLOOKUP($A$2,Table1_1[#All],3,FALSE)</f>
        <v>HR</v>
      </c>
      <c r="D52" s="5" t="str">
        <f>VLOOKUP($A52,Table1_1[#All],4,FALSE)</f>
        <v>USA</v>
      </c>
      <c r="E52" s="5">
        <f>VLOOKUP($A52,Table1_1[#All],5,FALSE)</f>
        <v>85065</v>
      </c>
      <c r="F52" s="5">
        <f>VLOOKUP($A52,Table1_1[#All],7,FALSE)</f>
        <v>3</v>
      </c>
      <c r="G52" s="5" t="str">
        <f>VLOOKUP($A52,Table1_1[#All],8,FALSE)</f>
        <v>MALE</v>
      </c>
      <c r="H52" s="13" t="str">
        <f>VLOOKUP($A52,Table1_1[#All],9,FALSE)</f>
        <v>user142@example.com</v>
      </c>
    </row>
    <row r="53" spans="1:8" x14ac:dyDescent="0.3">
      <c r="A53" s="18" t="s">
        <v>130</v>
      </c>
      <c r="B53" s="12" t="str">
        <f>VLOOKUP(A53,Table1_1[#All],2,FALSE)</f>
        <v>Bob Johnson</v>
      </c>
      <c r="C53" s="5" t="str">
        <f>VLOOKUP($A$2,Table1_1[#All],3,FALSE)</f>
        <v>HR</v>
      </c>
      <c r="D53" s="5" t="str">
        <f>VLOOKUP($A53,Table1_1[#All],4,FALSE)</f>
        <v>India</v>
      </c>
      <c r="E53" s="5">
        <f>VLOOKUP($A53,Table1_1[#All],5,FALSE)</f>
        <v>56512</v>
      </c>
      <c r="F53" s="5">
        <f>VLOOKUP($A53,Table1_1[#All],7,FALSE)</f>
        <v>3</v>
      </c>
      <c r="G53" s="5" t="str">
        <f>VLOOKUP($A53,Table1_1[#All],8,FALSE)</f>
        <v>Other</v>
      </c>
      <c r="H53" s="13" t="str">
        <f>VLOOKUP($A53,Table1_1[#All],9,FALSE)</f>
        <v>user153@example.com</v>
      </c>
    </row>
    <row r="54" spans="1:8" x14ac:dyDescent="0.3">
      <c r="A54" s="17" t="s">
        <v>131</v>
      </c>
      <c r="B54" s="12" t="str">
        <f>VLOOKUP(A54,Table1_1[#All],2,FALSE)</f>
        <v>John Doe</v>
      </c>
      <c r="C54" s="5" t="str">
        <f>VLOOKUP($A$2,Table1_1[#All],3,FALSE)</f>
        <v>HR</v>
      </c>
      <c r="D54" s="5" t="str">
        <f>VLOOKUP($A54,Table1_1[#All],4,FALSE)</f>
        <v>India</v>
      </c>
      <c r="E54" s="5">
        <f>VLOOKUP($A54,Table1_1[#All],5,FALSE)</f>
        <v>91101</v>
      </c>
      <c r="F54" s="5">
        <f>VLOOKUP($A54,Table1_1[#All],7,FALSE)</f>
        <v>4</v>
      </c>
      <c r="G54" s="5" t="str">
        <f>VLOOKUP($A54,Table1_1[#All],8,FALSE)</f>
        <v>Female</v>
      </c>
      <c r="H54" s="13" t="str">
        <f>VLOOKUP($A54,Table1_1[#All],9,FALSE)</f>
        <v>user71@example.com</v>
      </c>
    </row>
    <row r="55" spans="1:8" x14ac:dyDescent="0.3">
      <c r="A55" s="18" t="s">
        <v>132</v>
      </c>
      <c r="B55" s="12" t="str">
        <f>VLOOKUP(A55,Table1_1[#All],2,FALSE)</f>
        <v>Sam Wilson</v>
      </c>
      <c r="C55" s="5" t="str">
        <f>VLOOKUP($A$2,Table1_1[#All],3,FALSE)</f>
        <v>HR</v>
      </c>
      <c r="D55" s="5" t="str">
        <f>VLOOKUP($A55,Table1_1[#All],4,FALSE)</f>
        <v>Germany</v>
      </c>
      <c r="E55" s="5">
        <f>VLOOKUP($A55,Table1_1[#All],5,FALSE)</f>
        <v>41243</v>
      </c>
      <c r="F55" s="5">
        <f>VLOOKUP($A55,Table1_1[#All],7,FALSE)</f>
        <v>3</v>
      </c>
      <c r="G55" s="5" t="str">
        <f>VLOOKUP($A55,Table1_1[#All],8,FALSE)</f>
        <v>MALE</v>
      </c>
      <c r="H55" s="13" t="str">
        <f>VLOOKUP($A55,Table1_1[#All],9,FALSE)</f>
        <v>user143@example.com</v>
      </c>
    </row>
    <row r="56" spans="1:8" x14ac:dyDescent="0.3">
      <c r="A56" s="17" t="s">
        <v>133</v>
      </c>
      <c r="B56" s="12" t="str">
        <f>VLOOKUP(A56,Table1_1[#All],2,FALSE)</f>
        <v>Eve Adams</v>
      </c>
      <c r="C56" s="5" t="str">
        <f>VLOOKUP($A$2,Table1_1[#All],3,FALSE)</f>
        <v>HR</v>
      </c>
      <c r="D56" s="5" t="str">
        <f>VLOOKUP($A56,Table1_1[#All],4,FALSE)</f>
        <v>India</v>
      </c>
      <c r="E56" s="5">
        <f>VLOOKUP($A56,Table1_1[#All],5,FALSE)</f>
        <v>94301</v>
      </c>
      <c r="F56" s="5">
        <f>VLOOKUP($A56,Table1_1[#All],7,FALSE)</f>
        <v>1</v>
      </c>
      <c r="G56" s="5" t="str">
        <f>VLOOKUP($A56,Table1_1[#All],8,FALSE)</f>
        <v>Male</v>
      </c>
      <c r="H56" s="13" t="str">
        <f>VLOOKUP($A56,Table1_1[#All],9,FALSE)</f>
        <v>user20@example.com</v>
      </c>
    </row>
    <row r="57" spans="1:8" x14ac:dyDescent="0.3">
      <c r="A57" s="18" t="s">
        <v>134</v>
      </c>
      <c r="B57" s="12" t="str">
        <f>VLOOKUP(A57,Table1_1[#All],2,FALSE)</f>
        <v>Jane Smith</v>
      </c>
      <c r="C57" s="5" t="str">
        <f>VLOOKUP($A$2,Table1_1[#All],3,FALSE)</f>
        <v>HR</v>
      </c>
      <c r="D57" s="5" t="str">
        <f>VLOOKUP($A57,Table1_1[#All],4,FALSE)</f>
        <v>UK</v>
      </c>
      <c r="E57" s="5">
        <f>VLOOKUP($A57,Table1_1[#All],5,FALSE)</f>
        <v>69166</v>
      </c>
      <c r="F57" s="5">
        <f>VLOOKUP($A57,Table1_1[#All],7,FALSE)</f>
        <v>1</v>
      </c>
      <c r="G57" s="5" t="str">
        <f>VLOOKUP($A57,Table1_1[#All],8,FALSE)</f>
        <v>Female</v>
      </c>
      <c r="H57" s="13" t="str">
        <f>VLOOKUP($A57,Table1_1[#All],9,FALSE)</f>
        <v>user22@example.com</v>
      </c>
    </row>
    <row r="58" spans="1:8" x14ac:dyDescent="0.3">
      <c r="A58" s="17" t="s">
        <v>136</v>
      </c>
      <c r="B58" s="12" t="str">
        <f>VLOOKUP(A58,Table1_1[#All],2,FALSE)</f>
        <v>Sam Wilson</v>
      </c>
      <c r="C58" s="5" t="str">
        <f>VLOOKUP($A$2,Table1_1[#All],3,FALSE)</f>
        <v>HR</v>
      </c>
      <c r="D58" s="5" t="str">
        <f>VLOOKUP($A58,Table1_1[#All],4,FALSE)</f>
        <v>UK</v>
      </c>
      <c r="E58" s="5">
        <f>VLOOKUP($A58,Table1_1[#All],5,FALSE)</f>
        <v>78245</v>
      </c>
      <c r="F58" s="5">
        <f>VLOOKUP($A58,Table1_1[#All],7,FALSE)</f>
        <v>2</v>
      </c>
      <c r="G58" s="5" t="str">
        <f>VLOOKUP($A58,Table1_1[#All],8,FALSE)</f>
        <v>MALE</v>
      </c>
      <c r="H58" s="13" t="str">
        <f>VLOOKUP($A58,Table1_1[#All],9,FALSE)</f>
        <v>user46@example.com</v>
      </c>
    </row>
    <row r="59" spans="1:8" x14ac:dyDescent="0.3">
      <c r="A59" s="18" t="s">
        <v>138</v>
      </c>
      <c r="B59" s="12" t="str">
        <f>VLOOKUP(A59,Table1_1[#All],2,FALSE)</f>
        <v>Chris Lee</v>
      </c>
      <c r="C59" s="5" t="str">
        <f>VLOOKUP($A$2,Table1_1[#All],3,FALSE)</f>
        <v>HR</v>
      </c>
      <c r="D59" s="5" t="str">
        <f>VLOOKUP($A59,Table1_1[#All],4,FALSE)</f>
        <v>USA</v>
      </c>
      <c r="E59" s="5">
        <f>VLOOKUP($A59,Table1_1[#All],5,FALSE)</f>
        <v>66079</v>
      </c>
      <c r="F59" s="5">
        <f>VLOOKUP($A59,Table1_1[#All],7,FALSE)</f>
        <v>2</v>
      </c>
      <c r="G59" s="5" t="str">
        <f>VLOOKUP($A59,Table1_1[#All],8,FALSE)</f>
        <v>Other</v>
      </c>
      <c r="H59" s="13" t="str">
        <f>VLOOKUP($A59,Table1_1[#All],9,FALSE)</f>
        <v>user55@example.com</v>
      </c>
    </row>
    <row r="60" spans="1:8" x14ac:dyDescent="0.3">
      <c r="A60" s="17" t="s">
        <v>140</v>
      </c>
      <c r="B60" s="12" t="str">
        <f>VLOOKUP(A60,Table1_1[#All],2,FALSE)</f>
        <v>Jane Smith</v>
      </c>
      <c r="C60" s="5" t="str">
        <f>VLOOKUP($A$2,Table1_1[#All],3,FALSE)</f>
        <v>HR</v>
      </c>
      <c r="D60" s="5" t="str">
        <f>VLOOKUP($A60,Table1_1[#All],4,FALSE)</f>
        <v>USA</v>
      </c>
      <c r="E60" s="5">
        <f>VLOOKUP($A60,Table1_1[#All],5,FALSE)</f>
        <v>95621</v>
      </c>
      <c r="F60" s="5">
        <f>VLOOKUP($A60,Table1_1[#All],7,FALSE)</f>
        <v>3</v>
      </c>
      <c r="G60" s="5" t="str">
        <f>VLOOKUP($A60,Table1_1[#All],8,FALSE)</f>
        <v>Female</v>
      </c>
      <c r="H60" s="13" t="str">
        <f>VLOOKUP($A60,Table1_1[#All],9,FALSE)</f>
        <v>user156@example.com</v>
      </c>
    </row>
    <row r="61" spans="1:8" x14ac:dyDescent="0.3">
      <c r="A61" s="18" t="s">
        <v>142</v>
      </c>
      <c r="B61" s="12" t="str">
        <f>VLOOKUP(A61,Table1_1[#All],2,FALSE)</f>
        <v>Eve Adams</v>
      </c>
      <c r="C61" s="5" t="str">
        <f>VLOOKUP($A$2,Table1_1[#All],3,FALSE)</f>
        <v>HR</v>
      </c>
      <c r="D61" s="5" t="str">
        <f>VLOOKUP($A61,Table1_1[#All],4,FALSE)</f>
        <v>UK</v>
      </c>
      <c r="E61" s="5">
        <f>VLOOKUP($A61,Table1_1[#All],5,FALSE)</f>
        <v>42262</v>
      </c>
      <c r="F61" s="5">
        <f>VLOOKUP($A61,Table1_1[#All],7,FALSE)</f>
        <v>1</v>
      </c>
      <c r="G61" s="5" t="str">
        <f>VLOOKUP($A61,Table1_1[#All],8,FALSE)</f>
        <v>MALE</v>
      </c>
      <c r="H61" s="13" t="str">
        <f>VLOOKUP($A61,Table1_1[#All],9,FALSE)</f>
        <v>user104@example.com</v>
      </c>
    </row>
    <row r="62" spans="1:8" x14ac:dyDescent="0.3">
      <c r="A62" s="17" t="s">
        <v>144</v>
      </c>
      <c r="B62" s="12" t="str">
        <f>VLOOKUP(A62,Table1_1[#All],2,FALSE)</f>
        <v>Sam Wilson</v>
      </c>
      <c r="C62" s="5" t="str">
        <f>VLOOKUP($A$2,Table1_1[#All],3,FALSE)</f>
        <v>HR</v>
      </c>
      <c r="D62" s="5" t="str">
        <f>VLOOKUP($A62,Table1_1[#All],4,FALSE)</f>
        <v>India</v>
      </c>
      <c r="E62" s="5">
        <f>VLOOKUP($A62,Table1_1[#All],5,FALSE)</f>
        <v>99621</v>
      </c>
      <c r="F62" s="5">
        <f>VLOOKUP($A62,Table1_1[#All],7,FALSE)</f>
        <v>3</v>
      </c>
      <c r="G62" s="5" t="str">
        <f>VLOOKUP($A62,Table1_1[#All],8,FALSE)</f>
        <v>Other</v>
      </c>
      <c r="H62" s="13" t="str">
        <f>VLOOKUP($A62,Table1_1[#All],9,FALSE)</f>
        <v>user145@example.com</v>
      </c>
    </row>
    <row r="63" spans="1:8" x14ac:dyDescent="0.3">
      <c r="A63" s="18" t="s">
        <v>146</v>
      </c>
      <c r="B63" s="12" t="str">
        <f>VLOOKUP(A63,Table1_1[#All],2,FALSE)</f>
        <v>John Doe</v>
      </c>
      <c r="C63" s="5" t="str">
        <f>VLOOKUP($A$2,Table1_1[#All],3,FALSE)</f>
        <v>HR</v>
      </c>
      <c r="D63" s="5" t="str">
        <f>VLOOKUP($A63,Table1_1[#All],4,FALSE)</f>
        <v>India</v>
      </c>
      <c r="E63" s="5">
        <f>VLOOKUP($A63,Table1_1[#All],5,FALSE)</f>
        <v>44682</v>
      </c>
      <c r="F63" s="5">
        <f>VLOOKUP($A63,Table1_1[#All],7,FALSE)</f>
        <v>4</v>
      </c>
      <c r="G63" s="5" t="str">
        <f>VLOOKUP($A63,Table1_1[#All],8,FALSE)</f>
        <v>Female</v>
      </c>
      <c r="H63" s="13" t="str">
        <f>VLOOKUP($A63,Table1_1[#All],9,FALSE)</f>
        <v>user47@example.com</v>
      </c>
    </row>
    <row r="64" spans="1:8" x14ac:dyDescent="0.3">
      <c r="A64" s="17" t="s">
        <v>147</v>
      </c>
      <c r="B64" s="12" t="str">
        <f>VLOOKUP(A64,Table1_1[#All],2,FALSE)</f>
        <v>Chris Lee</v>
      </c>
      <c r="C64" s="5" t="str">
        <f>VLOOKUP($A$2,Table1_1[#All],3,FALSE)</f>
        <v>HR</v>
      </c>
      <c r="D64" s="5" t="str">
        <f>VLOOKUP($A64,Table1_1[#All],4,FALSE)</f>
        <v>India</v>
      </c>
      <c r="E64" s="5">
        <f>VLOOKUP($A64,Table1_1[#All],5,FALSE)</f>
        <v>33483</v>
      </c>
      <c r="F64" s="5">
        <f>VLOOKUP($A64,Table1_1[#All],7,FALSE)</f>
        <v>4</v>
      </c>
      <c r="G64" s="5" t="str">
        <f>VLOOKUP($A64,Table1_1[#All],8,FALSE)</f>
        <v>Male</v>
      </c>
      <c r="H64" s="13" t="str">
        <f>VLOOKUP($A64,Table1_1[#All],9,FALSE)</f>
        <v>user177@example.com</v>
      </c>
    </row>
    <row r="65" spans="1:8" x14ac:dyDescent="0.3">
      <c r="A65" s="18" t="s">
        <v>149</v>
      </c>
      <c r="B65" s="12" t="str">
        <f>VLOOKUP(A65,Table1_1[#All],2,FALSE)</f>
        <v>Sam Wilson</v>
      </c>
      <c r="C65" s="5" t="str">
        <f>VLOOKUP($A$2,Table1_1[#All],3,FALSE)</f>
        <v>HR</v>
      </c>
      <c r="D65" s="5" t="str">
        <f>VLOOKUP($A65,Table1_1[#All],4,FALSE)</f>
        <v>Germany</v>
      </c>
      <c r="E65" s="5">
        <f>VLOOKUP($A65,Table1_1[#All],5,FALSE)</f>
        <v>55303</v>
      </c>
      <c r="F65" s="5">
        <f>VLOOKUP($A65,Table1_1[#All],7,FALSE)</f>
        <v>4</v>
      </c>
      <c r="G65" s="5" t="str">
        <f>VLOOKUP($A65,Table1_1[#All],8,FALSE)</f>
        <v>Male</v>
      </c>
      <c r="H65" s="13" t="str">
        <f>VLOOKUP($A65,Table1_1[#All],9,FALSE)</f>
        <v>user149@example.com</v>
      </c>
    </row>
    <row r="66" spans="1:8" x14ac:dyDescent="0.3">
      <c r="A66" s="17" t="s">
        <v>150</v>
      </c>
      <c r="B66" s="12" t="str">
        <f>VLOOKUP(A66,Table1_1[#All],2,FALSE)</f>
        <v>Jane Smith</v>
      </c>
      <c r="C66" s="5" t="str">
        <f>VLOOKUP($A$2,Table1_1[#All],3,FALSE)</f>
        <v>HR</v>
      </c>
      <c r="D66" s="5" t="str">
        <f>VLOOKUP($A66,Table1_1[#All],4,FALSE)</f>
        <v>Australia</v>
      </c>
      <c r="E66" s="5">
        <f>VLOOKUP($A66,Table1_1[#All],5,FALSE)</f>
        <v>38830</v>
      </c>
      <c r="F66" s="5">
        <f>VLOOKUP($A66,Table1_1[#All],7,FALSE)</f>
        <v>3</v>
      </c>
      <c r="G66" s="5" t="str">
        <f>VLOOKUP($A66,Table1_1[#All],8,FALSE)</f>
        <v>Other</v>
      </c>
      <c r="H66" s="13" t="str">
        <f>VLOOKUP($A66,Table1_1[#All],9,FALSE)</f>
        <v>user149@example.com</v>
      </c>
    </row>
    <row r="67" spans="1:8" x14ac:dyDescent="0.3">
      <c r="A67" s="18" t="s">
        <v>151</v>
      </c>
      <c r="B67" s="12" t="str">
        <f>VLOOKUP(A67,Table1_1[#All],2,FALSE)</f>
        <v>Alice Brown</v>
      </c>
      <c r="C67" s="5" t="str">
        <f>VLOOKUP($A$2,Table1_1[#All],3,FALSE)</f>
        <v>HR</v>
      </c>
      <c r="D67" s="5" t="str">
        <f>VLOOKUP($A67,Table1_1[#All],4,FALSE)</f>
        <v>Australia</v>
      </c>
      <c r="E67" s="5">
        <f>VLOOKUP($A67,Table1_1[#All],5,FALSE)</f>
        <v>69420</v>
      </c>
      <c r="F67" s="5">
        <f>VLOOKUP($A67,Table1_1[#All],7,FALSE)</f>
        <v>1</v>
      </c>
      <c r="G67" s="5" t="str">
        <f>VLOOKUP($A67,Table1_1[#All],8,FALSE)</f>
        <v>Male</v>
      </c>
      <c r="H67" s="13" t="str">
        <f>VLOOKUP($A67,Table1_1[#All],9,FALSE)</f>
        <v>user43@example.com</v>
      </c>
    </row>
    <row r="68" spans="1:8" x14ac:dyDescent="0.3">
      <c r="A68" s="17" t="s">
        <v>152</v>
      </c>
      <c r="B68" s="12" t="str">
        <f>VLOOKUP(A68,Table1_1[#All],2,FALSE)</f>
        <v>Alice Brown</v>
      </c>
      <c r="C68" s="5" t="str">
        <f>VLOOKUP($A$2,Table1_1[#All],3,FALSE)</f>
        <v>HR</v>
      </c>
      <c r="D68" s="5" t="str">
        <f>VLOOKUP($A68,Table1_1[#All],4,FALSE)</f>
        <v>USA</v>
      </c>
      <c r="E68" s="5">
        <f>VLOOKUP($A68,Table1_1[#All],5,FALSE)</f>
        <v>76238</v>
      </c>
      <c r="F68" s="5">
        <f>VLOOKUP($A68,Table1_1[#All],7,FALSE)</f>
        <v>4</v>
      </c>
      <c r="G68" s="5" t="str">
        <f>VLOOKUP($A68,Table1_1[#All],8,FALSE)</f>
        <v>Male</v>
      </c>
      <c r="H68" s="13" t="str">
        <f>VLOOKUP($A68,Table1_1[#All],9,FALSE)</f>
        <v>user102@example.com</v>
      </c>
    </row>
    <row r="69" spans="1:8" x14ac:dyDescent="0.3">
      <c r="A69" s="18" t="s">
        <v>154</v>
      </c>
      <c r="B69" s="12" t="str">
        <f>VLOOKUP(A69,Table1_1[#All],2,FALSE)</f>
        <v>Bob Johnson</v>
      </c>
      <c r="C69" s="5" t="str">
        <f>VLOOKUP($A$2,Table1_1[#All],3,FALSE)</f>
        <v>HR</v>
      </c>
      <c r="D69" s="5" t="str">
        <f>VLOOKUP($A69,Table1_1[#All],4,FALSE)</f>
        <v>India</v>
      </c>
      <c r="E69" s="5">
        <f>VLOOKUP($A69,Table1_1[#All],5,FALSE)</f>
        <v>33264</v>
      </c>
      <c r="F69" s="5">
        <f>VLOOKUP($A69,Table1_1[#All],7,FALSE)</f>
        <v>3</v>
      </c>
      <c r="G69" s="5" t="str">
        <f>VLOOKUP($A69,Table1_1[#All],8,FALSE)</f>
        <v>Female</v>
      </c>
      <c r="H69" s="13" t="str">
        <f>VLOOKUP($A69,Table1_1[#All],9,FALSE)</f>
        <v>user148@example.com</v>
      </c>
    </row>
    <row r="70" spans="1:8" x14ac:dyDescent="0.3">
      <c r="A70" s="17" t="s">
        <v>156</v>
      </c>
      <c r="B70" s="12" t="str">
        <f>VLOOKUP(A70,Table1_1[#All],2,FALSE)</f>
        <v>Alice Brown</v>
      </c>
      <c r="C70" s="5" t="str">
        <f>VLOOKUP($A$2,Table1_1[#All],3,FALSE)</f>
        <v>HR</v>
      </c>
      <c r="D70" s="5" t="str">
        <f>VLOOKUP($A70,Table1_1[#All],4,FALSE)</f>
        <v>Australia</v>
      </c>
      <c r="E70" s="5">
        <f>VLOOKUP($A70,Table1_1[#All],5,FALSE)</f>
        <v>96101</v>
      </c>
      <c r="F70" s="5">
        <f>VLOOKUP($A70,Table1_1[#All],7,FALSE)</f>
        <v>3</v>
      </c>
      <c r="G70" s="5" t="str">
        <f>VLOOKUP($A70,Table1_1[#All],8,FALSE)</f>
        <v>Other</v>
      </c>
      <c r="H70" s="13" t="str">
        <f>VLOOKUP($A70,Table1_1[#All],9,FALSE)</f>
        <v>user155@example.com</v>
      </c>
    </row>
    <row r="71" spans="1:8" x14ac:dyDescent="0.3">
      <c r="A71" s="18" t="s">
        <v>158</v>
      </c>
      <c r="B71" s="12" t="str">
        <f>VLOOKUP(A71,Table1_1[#All],2,FALSE)</f>
        <v>Jane Smith</v>
      </c>
      <c r="C71" s="5" t="str">
        <f>VLOOKUP($A$2,Table1_1[#All],3,FALSE)</f>
        <v>HR</v>
      </c>
      <c r="D71" s="5" t="str">
        <f>VLOOKUP($A71,Table1_1[#All],4,FALSE)</f>
        <v>USA</v>
      </c>
      <c r="E71" s="5">
        <f>VLOOKUP($A71,Table1_1[#All],5,FALSE)</f>
        <v>72939</v>
      </c>
      <c r="F71" s="5">
        <f>VLOOKUP($A71,Table1_1[#All],7,FALSE)</f>
        <v>3</v>
      </c>
      <c r="G71" s="5" t="str">
        <f>VLOOKUP($A71,Table1_1[#All],8,FALSE)</f>
        <v>MALE</v>
      </c>
      <c r="H71" s="13" t="str">
        <f>VLOOKUP($A71,Table1_1[#All],9,FALSE)</f>
        <v>user191@example.com</v>
      </c>
    </row>
    <row r="72" spans="1:8" x14ac:dyDescent="0.3">
      <c r="A72" s="17" t="s">
        <v>160</v>
      </c>
      <c r="B72" s="12" t="str">
        <f>VLOOKUP(A72,Table1_1[#All],2,FALSE)</f>
        <v>Sam Wilson</v>
      </c>
      <c r="C72" s="5" t="str">
        <f>VLOOKUP($A$2,Table1_1[#All],3,FALSE)</f>
        <v>HR</v>
      </c>
      <c r="D72" s="5" t="str">
        <f>VLOOKUP($A72,Table1_1[#All],4,FALSE)</f>
        <v>Germany</v>
      </c>
      <c r="E72" s="5">
        <f>VLOOKUP($A72,Table1_1[#All],5,FALSE)</f>
        <v>89333</v>
      </c>
      <c r="F72" s="5">
        <f>VLOOKUP($A72,Table1_1[#All],7,FALSE)</f>
        <v>1</v>
      </c>
      <c r="G72" s="5" t="str">
        <f>VLOOKUP($A72,Table1_1[#All],8,FALSE)</f>
        <v>Male</v>
      </c>
      <c r="H72" s="13" t="str">
        <f>VLOOKUP($A72,Table1_1[#All],9,FALSE)</f>
        <v>user113@example.com</v>
      </c>
    </row>
    <row r="73" spans="1:8" x14ac:dyDescent="0.3">
      <c r="A73" s="18" t="s">
        <v>162</v>
      </c>
      <c r="B73" s="12" t="str">
        <f>VLOOKUP(A73,Table1_1[#All],2,FALSE)</f>
        <v>Bob Johnson</v>
      </c>
      <c r="C73" s="5" t="str">
        <f>VLOOKUP($A$2,Table1_1[#All],3,FALSE)</f>
        <v>HR</v>
      </c>
      <c r="D73" s="5" t="str">
        <f>VLOOKUP($A73,Table1_1[#All],4,FALSE)</f>
        <v>Australia</v>
      </c>
      <c r="E73" s="5">
        <f>VLOOKUP($A73,Table1_1[#All],5,FALSE)</f>
        <v>70470</v>
      </c>
      <c r="F73" s="5">
        <f>VLOOKUP($A73,Table1_1[#All],7,FALSE)</f>
        <v>3</v>
      </c>
      <c r="G73" s="5" t="str">
        <f>VLOOKUP($A73,Table1_1[#All],8,FALSE)</f>
        <v>Male</v>
      </c>
      <c r="H73" s="13" t="str">
        <f>VLOOKUP($A73,Table1_1[#All],9,FALSE)</f>
        <v>user62@example.com</v>
      </c>
    </row>
    <row r="74" spans="1:8" x14ac:dyDescent="0.3">
      <c r="A74" s="17" t="s">
        <v>164</v>
      </c>
      <c r="B74" s="12" t="str">
        <f>VLOOKUP(A74,Table1_1[#All],2,FALSE)</f>
        <v>Eve Adams</v>
      </c>
      <c r="C74" s="5" t="str">
        <f>VLOOKUP($A$2,Table1_1[#All],3,FALSE)</f>
        <v>HR</v>
      </c>
      <c r="D74" s="5" t="str">
        <f>VLOOKUP($A74,Table1_1[#All],4,FALSE)</f>
        <v>USA</v>
      </c>
      <c r="E74" s="5">
        <f>VLOOKUP($A74,Table1_1[#All],5,FALSE)</f>
        <v>70096</v>
      </c>
      <c r="F74" s="5">
        <f>VLOOKUP($A74,Table1_1[#All],7,FALSE)</f>
        <v>4</v>
      </c>
      <c r="G74" s="5" t="str">
        <f>VLOOKUP($A74,Table1_1[#All],8,FALSE)</f>
        <v>Male</v>
      </c>
      <c r="H74" s="13" t="str">
        <f>VLOOKUP($A74,Table1_1[#All],9,FALSE)</f>
        <v>user76@example.com</v>
      </c>
    </row>
    <row r="75" spans="1:8" x14ac:dyDescent="0.3">
      <c r="A75" s="18" t="s">
        <v>166</v>
      </c>
      <c r="B75" s="12" t="str">
        <f>VLOOKUP(A75,Table1_1[#All],2,FALSE)</f>
        <v>Bob Johnson</v>
      </c>
      <c r="C75" s="5" t="str">
        <f>VLOOKUP($A$2,Table1_1[#All],3,FALSE)</f>
        <v>HR</v>
      </c>
      <c r="D75" s="5" t="str">
        <f>VLOOKUP($A75,Table1_1[#All],4,FALSE)</f>
        <v>Germany</v>
      </c>
      <c r="E75" s="5">
        <f>VLOOKUP($A75,Table1_1[#All],5,FALSE)</f>
        <v>66503</v>
      </c>
      <c r="F75" s="5">
        <f>VLOOKUP($A75,Table1_1[#All],7,FALSE)</f>
        <v>3</v>
      </c>
      <c r="G75" s="5" t="str">
        <f>VLOOKUP($A75,Table1_1[#All],8,FALSE)</f>
        <v>Male</v>
      </c>
      <c r="H75" s="13" t="str">
        <f>VLOOKUP($A75,Table1_1[#All],9,FALSE)</f>
        <v>user200@example.com</v>
      </c>
    </row>
    <row r="76" spans="1:8" x14ac:dyDescent="0.3">
      <c r="A76" s="17" t="s">
        <v>167</v>
      </c>
      <c r="B76" s="12" t="str">
        <f>VLOOKUP(A76,Table1_1[#All],2,FALSE)</f>
        <v>Alice Brown</v>
      </c>
      <c r="C76" s="5" t="str">
        <f>VLOOKUP($A$2,Table1_1[#All],3,FALSE)</f>
        <v>HR</v>
      </c>
      <c r="D76" s="5" t="str">
        <f>VLOOKUP($A76,Table1_1[#All],4,FALSE)</f>
        <v>Germany</v>
      </c>
      <c r="E76" s="5">
        <f>VLOOKUP($A76,Table1_1[#All],5,FALSE)</f>
        <v>42096</v>
      </c>
      <c r="F76" s="5">
        <f>VLOOKUP($A76,Table1_1[#All],7,FALSE)</f>
        <v>3</v>
      </c>
      <c r="G76" s="5" t="str">
        <f>VLOOKUP($A76,Table1_1[#All],8,FALSE)</f>
        <v>Female</v>
      </c>
      <c r="H76" s="13" t="str">
        <f>VLOOKUP($A76,Table1_1[#All],9,FALSE)</f>
        <v>user54@example.com</v>
      </c>
    </row>
    <row r="77" spans="1:8" x14ac:dyDescent="0.3">
      <c r="A77" s="18" t="s">
        <v>169</v>
      </c>
      <c r="B77" s="12" t="str">
        <f>VLOOKUP(A77,Table1_1[#All],2,FALSE)</f>
        <v>Jane Smith</v>
      </c>
      <c r="C77" s="5" t="str">
        <f>VLOOKUP($A$2,Table1_1[#All],3,FALSE)</f>
        <v>HR</v>
      </c>
      <c r="D77" s="5" t="str">
        <f>VLOOKUP($A77,Table1_1[#All],4,FALSE)</f>
        <v>Australia</v>
      </c>
      <c r="E77" s="5">
        <f>VLOOKUP($A77,Table1_1[#All],5,FALSE)</f>
        <v>61556</v>
      </c>
      <c r="F77" s="5">
        <f>VLOOKUP($A77,Table1_1[#All],7,FALSE)</f>
        <v>1</v>
      </c>
      <c r="G77" s="5" t="str">
        <f>VLOOKUP($A77,Table1_1[#All],8,FALSE)</f>
        <v>MALE</v>
      </c>
      <c r="H77" s="13" t="str">
        <f>VLOOKUP($A77,Table1_1[#All],9,FALSE)</f>
        <v>user40@example.com</v>
      </c>
    </row>
    <row r="78" spans="1:8" x14ac:dyDescent="0.3">
      <c r="A78" s="17" t="s">
        <v>171</v>
      </c>
      <c r="B78" s="12" t="str">
        <f>VLOOKUP(A78,Table1_1[#All],2,FALSE)</f>
        <v>Sam Wilson</v>
      </c>
      <c r="C78" s="5" t="str">
        <f>VLOOKUP($A$2,Table1_1[#All],3,FALSE)</f>
        <v>HR</v>
      </c>
      <c r="D78" s="5" t="str">
        <f>VLOOKUP($A78,Table1_1[#All],4,FALSE)</f>
        <v>Australia</v>
      </c>
      <c r="E78" s="5">
        <f>VLOOKUP($A78,Table1_1[#All],5,FALSE)</f>
        <v>86412</v>
      </c>
      <c r="F78" s="5">
        <f>VLOOKUP($A78,Table1_1[#All],7,FALSE)</f>
        <v>2</v>
      </c>
      <c r="G78" s="5" t="str">
        <f>VLOOKUP($A78,Table1_1[#All],8,FALSE)</f>
        <v>Female</v>
      </c>
      <c r="H78" s="13" t="str">
        <f>VLOOKUP($A78,Table1_1[#All],9,FALSE)</f>
        <v>user128@example.com</v>
      </c>
    </row>
    <row r="79" spans="1:8" x14ac:dyDescent="0.3">
      <c r="A79" s="18" t="s">
        <v>172</v>
      </c>
      <c r="B79" s="12" t="str">
        <f>VLOOKUP(A79,Table1_1[#All],2,FALSE)</f>
        <v>Jane Smith</v>
      </c>
      <c r="C79" s="5" t="str">
        <f>VLOOKUP($A$2,Table1_1[#All],3,FALSE)</f>
        <v>HR</v>
      </c>
      <c r="D79" s="5" t="str">
        <f>VLOOKUP($A79,Table1_1[#All],4,FALSE)</f>
        <v>India</v>
      </c>
      <c r="E79" s="5">
        <f>VLOOKUP($A79,Table1_1[#All],5,FALSE)</f>
        <v>88850</v>
      </c>
      <c r="F79" s="5">
        <f>VLOOKUP($A79,Table1_1[#All],7,FALSE)</f>
        <v>1</v>
      </c>
      <c r="G79" s="5" t="str">
        <f>VLOOKUP($A79,Table1_1[#All],8,FALSE)</f>
        <v>Female</v>
      </c>
      <c r="H79" s="13" t="str">
        <f>VLOOKUP($A79,Table1_1[#All],9,FALSE)</f>
        <v>user174@example.com</v>
      </c>
    </row>
    <row r="80" spans="1:8" x14ac:dyDescent="0.3">
      <c r="A80" s="17" t="s">
        <v>174</v>
      </c>
      <c r="B80" s="12" t="str">
        <f>VLOOKUP(A80,Table1_1[#All],2,FALSE)</f>
        <v>Chris Lee</v>
      </c>
      <c r="C80" s="5" t="str">
        <f>VLOOKUP($A$2,Table1_1[#All],3,FALSE)</f>
        <v>HR</v>
      </c>
      <c r="D80" s="5" t="str">
        <f>VLOOKUP($A80,Table1_1[#All],4,FALSE)</f>
        <v>USA</v>
      </c>
      <c r="E80" s="5">
        <f>VLOOKUP($A80,Table1_1[#All],5,FALSE)</f>
        <v>34306</v>
      </c>
      <c r="F80" s="5">
        <f>VLOOKUP($A80,Table1_1[#All],7,FALSE)</f>
        <v>5</v>
      </c>
      <c r="G80" s="5" t="str">
        <f>VLOOKUP($A80,Table1_1[#All],8,FALSE)</f>
        <v>Female</v>
      </c>
      <c r="H80" s="13" t="str">
        <f>VLOOKUP($A80,Table1_1[#All],9,FALSE)</f>
        <v>user192@example.com</v>
      </c>
    </row>
    <row r="81" spans="1:8" x14ac:dyDescent="0.3">
      <c r="A81" s="18" t="s">
        <v>175</v>
      </c>
      <c r="B81" s="12" t="str">
        <f>VLOOKUP(A81,Table1_1[#All],2,FALSE)</f>
        <v>Eve Adams</v>
      </c>
      <c r="C81" s="5" t="str">
        <f>VLOOKUP($A$2,Table1_1[#All],3,FALSE)</f>
        <v>HR</v>
      </c>
      <c r="D81" s="5" t="str">
        <f>VLOOKUP($A81,Table1_1[#All],4,FALSE)</f>
        <v>India</v>
      </c>
      <c r="E81" s="5">
        <f>VLOOKUP($A81,Table1_1[#All],5,FALSE)</f>
        <v>78330</v>
      </c>
      <c r="F81" s="5">
        <f>VLOOKUP($A81,Table1_1[#All],7,FALSE)</f>
        <v>3</v>
      </c>
      <c r="G81" s="5" t="str">
        <f>VLOOKUP($A81,Table1_1[#All],8,FALSE)</f>
        <v>Other</v>
      </c>
      <c r="H81" s="13" t="str">
        <f>VLOOKUP($A81,Table1_1[#All],9,FALSE)</f>
        <v>user76@example.com</v>
      </c>
    </row>
    <row r="82" spans="1:8" x14ac:dyDescent="0.3">
      <c r="A82" s="17" t="s">
        <v>176</v>
      </c>
      <c r="B82" s="12" t="str">
        <f>VLOOKUP(A82,Table1_1[#All],2,FALSE)</f>
        <v>Alice Brown</v>
      </c>
      <c r="C82" s="5" t="str">
        <f>VLOOKUP($A$2,Table1_1[#All],3,FALSE)</f>
        <v>HR</v>
      </c>
      <c r="D82" s="5" t="str">
        <f>VLOOKUP($A82,Table1_1[#All],4,FALSE)</f>
        <v>USA</v>
      </c>
      <c r="E82" s="5">
        <f>VLOOKUP($A82,Table1_1[#All],5,FALSE)</f>
        <v>47653</v>
      </c>
      <c r="F82" s="5">
        <f>VLOOKUP($A82,Table1_1[#All],7,FALSE)</f>
        <v>1</v>
      </c>
      <c r="G82" s="5" t="str">
        <f>VLOOKUP($A82,Table1_1[#All],8,FALSE)</f>
        <v>Male</v>
      </c>
      <c r="H82" s="13" t="str">
        <f>VLOOKUP($A82,Table1_1[#All],9,FALSE)</f>
        <v>user82@example.com</v>
      </c>
    </row>
    <row r="83" spans="1:8" x14ac:dyDescent="0.3">
      <c r="A83" s="18" t="s">
        <v>178</v>
      </c>
      <c r="B83" s="12" t="str">
        <f>VLOOKUP(A83,Table1_1[#All],2,FALSE)</f>
        <v>Eve Adams</v>
      </c>
      <c r="C83" s="5" t="str">
        <f>VLOOKUP($A$2,Table1_1[#All],3,FALSE)</f>
        <v>HR</v>
      </c>
      <c r="D83" s="5" t="str">
        <f>VLOOKUP($A83,Table1_1[#All],4,FALSE)</f>
        <v>UK</v>
      </c>
      <c r="E83" s="5">
        <f>VLOOKUP($A83,Table1_1[#All],5,FALSE)</f>
        <v>44627</v>
      </c>
      <c r="F83" s="5">
        <f>VLOOKUP($A83,Table1_1[#All],7,FALSE)</f>
        <v>4</v>
      </c>
      <c r="G83" s="5" t="str">
        <f>VLOOKUP($A83,Table1_1[#All],8,FALSE)</f>
        <v>MALE</v>
      </c>
      <c r="H83" s="13" t="str">
        <f>VLOOKUP($A83,Table1_1[#All],9,FALSE)</f>
        <v>user97@example.com</v>
      </c>
    </row>
    <row r="84" spans="1:8" x14ac:dyDescent="0.3">
      <c r="A84" s="17" t="s">
        <v>179</v>
      </c>
      <c r="B84" s="12" t="str">
        <f>VLOOKUP(A84,Table1_1[#All],2,FALSE)</f>
        <v>Bob Johnson</v>
      </c>
      <c r="C84" s="5" t="str">
        <f>VLOOKUP($A$2,Table1_1[#All],3,FALSE)</f>
        <v>HR</v>
      </c>
      <c r="D84" s="5" t="str">
        <f>VLOOKUP($A84,Table1_1[#All],4,FALSE)</f>
        <v>Germany</v>
      </c>
      <c r="E84" s="5">
        <f>VLOOKUP($A84,Table1_1[#All],5,FALSE)</f>
        <v>92343</v>
      </c>
      <c r="F84" s="5">
        <f>VLOOKUP($A84,Table1_1[#All],7,FALSE)</f>
        <v>4</v>
      </c>
      <c r="G84" s="5" t="str">
        <f>VLOOKUP($A84,Table1_1[#All],8,FALSE)</f>
        <v>Female</v>
      </c>
      <c r="H84" s="13" t="str">
        <f>VLOOKUP($A84,Table1_1[#All],9,FALSE)</f>
        <v>user149@example.com</v>
      </c>
    </row>
    <row r="85" spans="1:8" x14ac:dyDescent="0.3">
      <c r="A85" s="18" t="s">
        <v>180</v>
      </c>
      <c r="B85" s="12" t="str">
        <f>VLOOKUP(A85,Table1_1[#All],2,FALSE)</f>
        <v>Bob Johnson</v>
      </c>
      <c r="C85" s="5" t="str">
        <f>VLOOKUP($A$2,Table1_1[#All],3,FALSE)</f>
        <v>HR</v>
      </c>
      <c r="D85" s="5" t="str">
        <f>VLOOKUP($A85,Table1_1[#All],4,FALSE)</f>
        <v>Australia</v>
      </c>
      <c r="E85" s="5">
        <f>VLOOKUP($A85,Table1_1[#All],5,FALSE)</f>
        <v>38837</v>
      </c>
      <c r="F85" s="5">
        <f>VLOOKUP($A85,Table1_1[#All],7,FALSE)</f>
        <v>5</v>
      </c>
      <c r="G85" s="5" t="str">
        <f>VLOOKUP($A85,Table1_1[#All],8,FALSE)</f>
        <v>Female</v>
      </c>
      <c r="H85" s="13" t="str">
        <f>VLOOKUP($A85,Table1_1[#All],9,FALSE)</f>
        <v>user192@example.com</v>
      </c>
    </row>
    <row r="86" spans="1:8" x14ac:dyDescent="0.3">
      <c r="A86" s="17" t="s">
        <v>181</v>
      </c>
      <c r="B86" s="12" t="str">
        <f>VLOOKUP(A86,Table1_1[#All],2,FALSE)</f>
        <v>Chris Lee</v>
      </c>
      <c r="C86" s="5" t="str">
        <f>VLOOKUP($A$2,Table1_1[#All],3,FALSE)</f>
        <v>HR</v>
      </c>
      <c r="D86" s="5" t="str">
        <f>VLOOKUP($A86,Table1_1[#All],4,FALSE)</f>
        <v>India</v>
      </c>
      <c r="E86" s="5">
        <f>VLOOKUP($A86,Table1_1[#All],5,FALSE)</f>
        <v>95032</v>
      </c>
      <c r="F86" s="5">
        <f>VLOOKUP($A86,Table1_1[#All],7,FALSE)</f>
        <v>3</v>
      </c>
      <c r="G86" s="5" t="str">
        <f>VLOOKUP($A86,Table1_1[#All],8,FALSE)</f>
        <v>MALE</v>
      </c>
      <c r="H86" s="13" t="str">
        <f>VLOOKUP($A86,Table1_1[#All],9,FALSE)</f>
        <v>user23@example.com</v>
      </c>
    </row>
    <row r="87" spans="1:8" x14ac:dyDescent="0.3">
      <c r="A87" s="18" t="s">
        <v>183</v>
      </c>
      <c r="B87" s="12" t="str">
        <f>VLOOKUP(A87,Table1_1[#All],2,FALSE)</f>
        <v>Eve Adams</v>
      </c>
      <c r="C87" s="5" t="str">
        <f>VLOOKUP($A$2,Table1_1[#All],3,FALSE)</f>
        <v>HR</v>
      </c>
      <c r="D87" s="5" t="str">
        <f>VLOOKUP($A87,Table1_1[#All],4,FALSE)</f>
        <v>Australia</v>
      </c>
      <c r="E87" s="5">
        <f>VLOOKUP($A87,Table1_1[#All],5,FALSE)</f>
        <v>44358</v>
      </c>
      <c r="F87" s="5">
        <f>VLOOKUP($A87,Table1_1[#All],7,FALSE)</f>
        <v>3</v>
      </c>
      <c r="G87" s="5" t="str">
        <f>VLOOKUP($A87,Table1_1[#All],8,FALSE)</f>
        <v>Female</v>
      </c>
      <c r="H87" s="13" t="str">
        <f>VLOOKUP($A87,Table1_1[#All],9,FALSE)</f>
        <v>user200@example.com</v>
      </c>
    </row>
    <row r="88" spans="1:8" x14ac:dyDescent="0.3">
      <c r="A88" s="17" t="s">
        <v>184</v>
      </c>
      <c r="B88" s="12" t="str">
        <f>VLOOKUP(A88,Table1_1[#All],2,FALSE)</f>
        <v>Chris Lee</v>
      </c>
      <c r="C88" s="5" t="str">
        <f>VLOOKUP($A$2,Table1_1[#All],3,FALSE)</f>
        <v>HR</v>
      </c>
      <c r="D88" s="5" t="str">
        <f>VLOOKUP($A88,Table1_1[#All],4,FALSE)</f>
        <v>USA</v>
      </c>
      <c r="E88" s="5">
        <f>VLOOKUP($A88,Table1_1[#All],5,FALSE)</f>
        <v>45676</v>
      </c>
      <c r="F88" s="5">
        <f>VLOOKUP($A88,Table1_1[#All],7,FALSE)</f>
        <v>2</v>
      </c>
      <c r="G88" s="5" t="str">
        <f>VLOOKUP($A88,Table1_1[#All],8,FALSE)</f>
        <v>MALE</v>
      </c>
      <c r="H88" s="13" t="str">
        <f>VLOOKUP($A88,Table1_1[#All],9,FALSE)</f>
        <v>user132@example.com</v>
      </c>
    </row>
    <row r="89" spans="1:8" x14ac:dyDescent="0.3">
      <c r="A89" s="18" t="s">
        <v>186</v>
      </c>
      <c r="B89" s="12" t="str">
        <f>VLOOKUP(A89,Table1_1[#All],2,FALSE)</f>
        <v>Bob Johnson</v>
      </c>
      <c r="C89" s="5" t="str">
        <f>VLOOKUP($A$2,Table1_1[#All],3,FALSE)</f>
        <v>HR</v>
      </c>
      <c r="D89" s="5" t="str">
        <f>VLOOKUP($A89,Table1_1[#All],4,FALSE)</f>
        <v>Germany</v>
      </c>
      <c r="E89" s="5">
        <f>VLOOKUP($A89,Table1_1[#All],5,FALSE)</f>
        <v>52036</v>
      </c>
      <c r="F89" s="5">
        <f>VLOOKUP($A89,Table1_1[#All],7,FALSE)</f>
        <v>3</v>
      </c>
      <c r="G89" s="5" t="str">
        <f>VLOOKUP($A89,Table1_1[#All],8,FALSE)</f>
        <v>Male</v>
      </c>
      <c r="H89" s="13" t="str">
        <f>VLOOKUP($A89,Table1_1[#All],9,FALSE)</f>
        <v>user171@example.com</v>
      </c>
    </row>
    <row r="90" spans="1:8" x14ac:dyDescent="0.3">
      <c r="A90" s="17" t="s">
        <v>188</v>
      </c>
      <c r="B90" s="12" t="str">
        <f>VLOOKUP(A90,Table1_1[#All],2,FALSE)</f>
        <v>Jane Smith</v>
      </c>
      <c r="C90" s="5" t="str">
        <f>VLOOKUP($A$2,Table1_1[#All],3,FALSE)</f>
        <v>HR</v>
      </c>
      <c r="D90" s="5" t="str">
        <f>VLOOKUP($A90,Table1_1[#All],4,FALSE)</f>
        <v>Germany</v>
      </c>
      <c r="E90" s="5">
        <f>VLOOKUP($A90,Table1_1[#All],5,FALSE)</f>
        <v>30357</v>
      </c>
      <c r="F90" s="5">
        <f>VLOOKUP($A90,Table1_1[#All],7,FALSE)</f>
        <v>5</v>
      </c>
      <c r="G90" s="5" t="str">
        <f>VLOOKUP($A90,Table1_1[#All],8,FALSE)</f>
        <v>Male</v>
      </c>
      <c r="H90" s="13" t="str">
        <f>VLOOKUP($A90,Table1_1[#All],9,FALSE)</f>
        <v>user145@example.com</v>
      </c>
    </row>
    <row r="91" spans="1:8" x14ac:dyDescent="0.3">
      <c r="A91" s="18" t="s">
        <v>189</v>
      </c>
      <c r="B91" s="12" t="str">
        <f>VLOOKUP(A91,Table1_1[#All],2,FALSE)</f>
        <v>Bob Johnson</v>
      </c>
      <c r="C91" s="5" t="str">
        <f>VLOOKUP($A$2,Table1_1[#All],3,FALSE)</f>
        <v>HR</v>
      </c>
      <c r="D91" s="5" t="str">
        <f>VLOOKUP($A91,Table1_1[#All],4,FALSE)</f>
        <v>Germany</v>
      </c>
      <c r="E91" s="5">
        <f>VLOOKUP($A91,Table1_1[#All],5,FALSE)</f>
        <v>71494</v>
      </c>
      <c r="F91" s="5">
        <f>VLOOKUP($A91,Table1_1[#All],7,FALSE)</f>
        <v>3</v>
      </c>
      <c r="G91" s="5" t="str">
        <f>VLOOKUP($A91,Table1_1[#All],8,FALSE)</f>
        <v>Male</v>
      </c>
      <c r="H91" s="13" t="str">
        <f>VLOOKUP($A91,Table1_1[#All],9,FALSE)</f>
        <v>user100@example.com</v>
      </c>
    </row>
    <row r="92" spans="1:8" x14ac:dyDescent="0.3">
      <c r="A92" s="17" t="s">
        <v>191</v>
      </c>
      <c r="B92" s="12" t="str">
        <f>VLOOKUP(A92,Table1_1[#All],2,FALSE)</f>
        <v>John Doe</v>
      </c>
      <c r="C92" s="5" t="str">
        <f>VLOOKUP($A$2,Table1_1[#All],3,FALSE)</f>
        <v>HR</v>
      </c>
      <c r="D92" s="5" t="str">
        <f>VLOOKUP($A92,Table1_1[#All],4,FALSE)</f>
        <v>USA</v>
      </c>
      <c r="E92" s="5">
        <f>VLOOKUP($A92,Table1_1[#All],5,FALSE)</f>
        <v>91953</v>
      </c>
      <c r="F92" s="5">
        <f>VLOOKUP($A92,Table1_1[#All],7,FALSE)</f>
        <v>2</v>
      </c>
      <c r="G92" s="5" t="str">
        <f>VLOOKUP($A92,Table1_1[#All],8,FALSE)</f>
        <v>Male</v>
      </c>
      <c r="H92" s="13" t="str">
        <f>VLOOKUP($A92,Table1_1[#All],9,FALSE)</f>
        <v>user83@example.com</v>
      </c>
    </row>
    <row r="93" spans="1:8" x14ac:dyDescent="0.3">
      <c r="A93" s="18" t="s">
        <v>192</v>
      </c>
      <c r="B93" s="12" t="str">
        <f>VLOOKUP(A93,Table1_1[#All],2,FALSE)</f>
        <v>Chris Lee</v>
      </c>
      <c r="C93" s="5" t="str">
        <f>VLOOKUP($A$2,Table1_1[#All],3,FALSE)</f>
        <v>HR</v>
      </c>
      <c r="D93" s="5" t="str">
        <f>VLOOKUP($A93,Table1_1[#All],4,FALSE)</f>
        <v>USA</v>
      </c>
      <c r="E93" s="5">
        <f>VLOOKUP($A93,Table1_1[#All],5,FALSE)</f>
        <v>30402</v>
      </c>
      <c r="F93" s="5">
        <f>VLOOKUP($A93,Table1_1[#All],7,FALSE)</f>
        <v>1</v>
      </c>
      <c r="G93" s="5" t="str">
        <f>VLOOKUP($A93,Table1_1[#All],8,FALSE)</f>
        <v>MALE</v>
      </c>
      <c r="H93" s="13" t="str">
        <f>VLOOKUP($A93,Table1_1[#All],9,FALSE)</f>
        <v>user167@example.com</v>
      </c>
    </row>
    <row r="94" spans="1:8" x14ac:dyDescent="0.3">
      <c r="A94" s="17" t="s">
        <v>194</v>
      </c>
      <c r="B94" s="12" t="str">
        <f>VLOOKUP(A94,Table1_1[#All],2,FALSE)</f>
        <v>Bob Johnson</v>
      </c>
      <c r="C94" s="5" t="str">
        <f>VLOOKUP($A$2,Table1_1[#All],3,FALSE)</f>
        <v>HR</v>
      </c>
      <c r="D94" s="5" t="str">
        <f>VLOOKUP($A94,Table1_1[#All],4,FALSE)</f>
        <v>UK</v>
      </c>
      <c r="E94" s="5">
        <f>VLOOKUP($A94,Table1_1[#All],5,FALSE)</f>
        <v>62994</v>
      </c>
      <c r="F94" s="5">
        <f>VLOOKUP($A94,Table1_1[#All],7,FALSE)</f>
        <v>3</v>
      </c>
      <c r="G94" s="5" t="str">
        <f>VLOOKUP($A94,Table1_1[#All],8,FALSE)</f>
        <v>MALE</v>
      </c>
      <c r="H94" s="13" t="str">
        <f>VLOOKUP($A94,Table1_1[#All],9,FALSE)</f>
        <v>user175@example.com</v>
      </c>
    </row>
    <row r="95" spans="1:8" x14ac:dyDescent="0.3">
      <c r="A95" s="18" t="s">
        <v>195</v>
      </c>
      <c r="B95" s="12" t="str">
        <f>VLOOKUP(A95,Table1_1[#All],2,FALSE)</f>
        <v>Sam Wilson</v>
      </c>
      <c r="C95" s="5" t="str">
        <f>VLOOKUP($A$2,Table1_1[#All],3,FALSE)</f>
        <v>HR</v>
      </c>
      <c r="D95" s="5" t="str">
        <f>VLOOKUP($A95,Table1_1[#All],4,FALSE)</f>
        <v>Germany</v>
      </c>
      <c r="E95" s="5">
        <f>VLOOKUP($A95,Table1_1[#All],5,FALSE)</f>
        <v>34402</v>
      </c>
      <c r="F95" s="5">
        <f>VLOOKUP($A95,Table1_1[#All],7,FALSE)</f>
        <v>3</v>
      </c>
      <c r="G95" s="5" t="str">
        <f>VLOOKUP($A95,Table1_1[#All],8,FALSE)</f>
        <v>Other</v>
      </c>
      <c r="H95" s="13" t="str">
        <f>VLOOKUP($A95,Table1_1[#All],9,FALSE)</f>
        <v>user42@example.com</v>
      </c>
    </row>
    <row r="96" spans="1:8" x14ac:dyDescent="0.3">
      <c r="A96" s="17" t="s">
        <v>196</v>
      </c>
      <c r="B96" s="12" t="str">
        <f>VLOOKUP(A96,Table1_1[#All],2,FALSE)</f>
        <v>Eve Adams</v>
      </c>
      <c r="C96" s="5" t="str">
        <f>VLOOKUP($A$2,Table1_1[#All],3,FALSE)</f>
        <v>HR</v>
      </c>
      <c r="D96" s="5" t="str">
        <f>VLOOKUP($A96,Table1_1[#All],4,FALSE)</f>
        <v>USA</v>
      </c>
      <c r="E96" s="5">
        <f>VLOOKUP($A96,Table1_1[#All],5,FALSE)</f>
        <v>38678</v>
      </c>
      <c r="F96" s="5">
        <f>VLOOKUP($A96,Table1_1[#All],7,FALSE)</f>
        <v>3</v>
      </c>
      <c r="G96" s="5" t="str">
        <f>VLOOKUP($A96,Table1_1[#All],8,FALSE)</f>
        <v>Other</v>
      </c>
      <c r="H96" s="13" t="str">
        <f>VLOOKUP($A96,Table1_1[#All],9,FALSE)</f>
        <v>user188@example.com</v>
      </c>
    </row>
    <row r="97" spans="1:8" x14ac:dyDescent="0.3">
      <c r="A97" s="18" t="s">
        <v>198</v>
      </c>
      <c r="B97" s="12" t="str">
        <f>VLOOKUP(A97,Table1_1[#All],2,FALSE)</f>
        <v>Chris Lee</v>
      </c>
      <c r="C97" s="5" t="str">
        <f>VLOOKUP($A$2,Table1_1[#All],3,FALSE)</f>
        <v>HR</v>
      </c>
      <c r="D97" s="5" t="str">
        <f>VLOOKUP($A97,Table1_1[#All],4,FALSE)</f>
        <v>Germany</v>
      </c>
      <c r="E97" s="5">
        <f>VLOOKUP($A97,Table1_1[#All],5,FALSE)</f>
        <v>45758</v>
      </c>
      <c r="F97" s="5">
        <f>VLOOKUP($A97,Table1_1[#All],7,FALSE)</f>
        <v>3</v>
      </c>
      <c r="G97" s="5" t="str">
        <f>VLOOKUP($A97,Table1_1[#All],8,FALSE)</f>
        <v>MALE</v>
      </c>
      <c r="H97" s="13" t="str">
        <f>VLOOKUP($A97,Table1_1[#All],9,FALSE)</f>
        <v>user44@example.com</v>
      </c>
    </row>
    <row r="98" spans="1:8" x14ac:dyDescent="0.3">
      <c r="A98" s="17" t="s">
        <v>200</v>
      </c>
      <c r="B98" s="12" t="str">
        <f>VLOOKUP(A98,Table1_1[#All],2,FALSE)</f>
        <v>Eve Adams</v>
      </c>
      <c r="C98" s="5" t="str">
        <f>VLOOKUP($A$2,Table1_1[#All],3,FALSE)</f>
        <v>HR</v>
      </c>
      <c r="D98" s="5" t="str">
        <f>VLOOKUP($A98,Table1_1[#All],4,FALSE)</f>
        <v>India</v>
      </c>
      <c r="E98" s="5">
        <f>VLOOKUP($A98,Table1_1[#All],5,FALSE)</f>
        <v>62476</v>
      </c>
      <c r="F98" s="5">
        <f>VLOOKUP($A98,Table1_1[#All],7,FALSE)</f>
        <v>1</v>
      </c>
      <c r="G98" s="5" t="str">
        <f>VLOOKUP($A98,Table1_1[#All],8,FALSE)</f>
        <v>Other</v>
      </c>
      <c r="H98" s="13" t="str">
        <f>VLOOKUP($A98,Table1_1[#All],9,FALSE)</f>
        <v>user63@example.com</v>
      </c>
    </row>
    <row r="99" spans="1:8" x14ac:dyDescent="0.3">
      <c r="A99" s="18" t="s">
        <v>201</v>
      </c>
      <c r="B99" s="12" t="str">
        <f>VLOOKUP(A99,Table1_1[#All],2,FALSE)</f>
        <v>UNKNOWN</v>
      </c>
      <c r="C99" s="5" t="str">
        <f>VLOOKUP($A$2,Table1_1[#All],3,FALSE)</f>
        <v>HR</v>
      </c>
      <c r="D99" s="5" t="str">
        <f>VLOOKUP($A99,Table1_1[#All],4,FALSE)</f>
        <v>UK</v>
      </c>
      <c r="E99" s="5">
        <f>VLOOKUP($A99,Table1_1[#All],5,FALSE)</f>
        <v>39280</v>
      </c>
      <c r="F99" s="5">
        <f>VLOOKUP($A99,Table1_1[#All],7,FALSE)</f>
        <v>3</v>
      </c>
      <c r="G99" s="5" t="str">
        <f>VLOOKUP($A99,Table1_1[#All],8,FALSE)</f>
        <v>Female</v>
      </c>
      <c r="H99" s="13" t="str">
        <f>VLOOKUP($A99,Table1_1[#All],9,FALSE)</f>
        <v>user198@example.com</v>
      </c>
    </row>
    <row r="100" spans="1:8" x14ac:dyDescent="0.3">
      <c r="A100" s="17" t="s">
        <v>202</v>
      </c>
      <c r="B100" s="12" t="str">
        <f>VLOOKUP(A100,Table1_1[#All],2,FALSE)</f>
        <v>Jane Smith</v>
      </c>
      <c r="C100" s="5" t="str">
        <f>VLOOKUP($A$2,Table1_1[#All],3,FALSE)</f>
        <v>HR</v>
      </c>
      <c r="D100" s="5" t="str">
        <f>VLOOKUP($A100,Table1_1[#All],4,FALSE)</f>
        <v>India</v>
      </c>
      <c r="E100" s="5">
        <f>VLOOKUP($A100,Table1_1[#All],5,FALSE)</f>
        <v>60335</v>
      </c>
      <c r="F100" s="5">
        <f>VLOOKUP($A100,Table1_1[#All],7,FALSE)</f>
        <v>4</v>
      </c>
      <c r="G100" s="5" t="str">
        <f>VLOOKUP($A100,Table1_1[#All],8,FALSE)</f>
        <v>Other</v>
      </c>
      <c r="H100" s="13" t="str">
        <f>VLOOKUP($A100,Table1_1[#All],9,FALSE)</f>
        <v>user59@example.com</v>
      </c>
    </row>
    <row r="101" spans="1:8" x14ac:dyDescent="0.3">
      <c r="A101" s="18" t="s">
        <v>203</v>
      </c>
      <c r="B101" s="12" t="str">
        <f>VLOOKUP(A101,Table1_1[#All],2,FALSE)</f>
        <v>Chris Lee</v>
      </c>
      <c r="C101" s="5" t="str">
        <f>VLOOKUP($A$2,Table1_1[#All],3,FALSE)</f>
        <v>HR</v>
      </c>
      <c r="D101" s="5" t="str">
        <f>VLOOKUP($A101,Table1_1[#All],4,FALSE)</f>
        <v>Germany</v>
      </c>
      <c r="E101" s="5">
        <f>VLOOKUP($A101,Table1_1[#All],5,FALSE)</f>
        <v>84968</v>
      </c>
      <c r="F101" s="5">
        <f>VLOOKUP($A101,Table1_1[#All],7,FALSE)</f>
        <v>3</v>
      </c>
      <c r="G101" s="5" t="str">
        <f>VLOOKUP($A101,Table1_1[#All],8,FALSE)</f>
        <v>MALE</v>
      </c>
      <c r="H101" s="13" t="str">
        <f>VLOOKUP($A101,Table1_1[#All],9,FALSE)</f>
        <v>user165@example.com</v>
      </c>
    </row>
    <row r="102" spans="1:8" x14ac:dyDescent="0.3">
      <c r="A102" s="17" t="s">
        <v>205</v>
      </c>
      <c r="B102" s="12" t="str">
        <f>VLOOKUP(A102,Table1_1[#All],2,FALSE)</f>
        <v>Chris Lee</v>
      </c>
      <c r="C102" s="5" t="str">
        <f>VLOOKUP($A$2,Table1_1[#All],3,FALSE)</f>
        <v>HR</v>
      </c>
      <c r="D102" s="5" t="str">
        <f>VLOOKUP($A102,Table1_1[#All],4,FALSE)</f>
        <v>Australia</v>
      </c>
      <c r="E102" s="5">
        <f>VLOOKUP($A102,Table1_1[#All],5,FALSE)</f>
        <v>84750</v>
      </c>
      <c r="F102" s="5">
        <f>VLOOKUP($A102,Table1_1[#All],7,FALSE)</f>
        <v>4</v>
      </c>
      <c r="G102" s="5" t="str">
        <f>VLOOKUP($A102,Table1_1[#All],8,FALSE)</f>
        <v>Female</v>
      </c>
      <c r="H102" s="13" t="str">
        <f>VLOOKUP($A102,Table1_1[#All],9,FALSE)</f>
        <v>user3@example.com</v>
      </c>
    </row>
    <row r="103" spans="1:8" x14ac:dyDescent="0.3">
      <c r="A103" s="18" t="s">
        <v>206</v>
      </c>
      <c r="B103" s="12" t="str">
        <f>VLOOKUP(A103,Table1_1[#All],2,FALSE)</f>
        <v>Jane Smith</v>
      </c>
      <c r="C103" s="5" t="str">
        <f>VLOOKUP($A$2,Table1_1[#All],3,FALSE)</f>
        <v>HR</v>
      </c>
      <c r="D103" s="5" t="str">
        <f>VLOOKUP($A103,Table1_1[#All],4,FALSE)</f>
        <v>USA</v>
      </c>
      <c r="E103" s="5">
        <f>VLOOKUP($A103,Table1_1[#All],5,FALSE)</f>
        <v>66882</v>
      </c>
      <c r="F103" s="5">
        <f>VLOOKUP($A103,Table1_1[#All],7,FALSE)</f>
        <v>5</v>
      </c>
      <c r="G103" s="5" t="str">
        <f>VLOOKUP($A103,Table1_1[#All],8,FALSE)</f>
        <v>Other</v>
      </c>
      <c r="H103" s="13" t="str">
        <f>VLOOKUP($A103,Table1_1[#All],9,FALSE)</f>
        <v>user103@example.com</v>
      </c>
    </row>
    <row r="104" spans="1:8" x14ac:dyDescent="0.3">
      <c r="A104" s="17" t="s">
        <v>207</v>
      </c>
      <c r="B104" s="12" t="str">
        <f>VLOOKUP(A104,Table1_1[#All],2,FALSE)</f>
        <v>Chris Lee</v>
      </c>
      <c r="C104" s="5" t="str">
        <f>VLOOKUP($A$2,Table1_1[#All],3,FALSE)</f>
        <v>HR</v>
      </c>
      <c r="D104" s="5" t="str">
        <f>VLOOKUP($A104,Table1_1[#All],4,FALSE)</f>
        <v>UK</v>
      </c>
      <c r="E104" s="5">
        <f>VLOOKUP($A104,Table1_1[#All],5,FALSE)</f>
        <v>91620</v>
      </c>
      <c r="F104" s="5">
        <f>VLOOKUP($A104,Table1_1[#All],7,FALSE)</f>
        <v>3</v>
      </c>
      <c r="G104" s="5" t="str">
        <f>VLOOKUP($A104,Table1_1[#All],8,FALSE)</f>
        <v>MALE</v>
      </c>
      <c r="H104" s="13" t="str">
        <f>VLOOKUP($A104,Table1_1[#All],9,FALSE)</f>
        <v>user114@example.com</v>
      </c>
    </row>
    <row r="105" spans="1:8" x14ac:dyDescent="0.3">
      <c r="A105" s="18" t="s">
        <v>209</v>
      </c>
      <c r="B105" s="12" t="str">
        <f>VLOOKUP(A105,Table1_1[#All],2,FALSE)</f>
        <v>Sam Wilson</v>
      </c>
      <c r="C105" s="5" t="str">
        <f>VLOOKUP($A$2,Table1_1[#All],3,FALSE)</f>
        <v>HR</v>
      </c>
      <c r="D105" s="5" t="str">
        <f>VLOOKUP($A105,Table1_1[#All],4,FALSE)</f>
        <v>Australia</v>
      </c>
      <c r="E105" s="5">
        <f>VLOOKUP($A105,Table1_1[#All],5,FALSE)</f>
        <v>35627</v>
      </c>
      <c r="F105" s="5">
        <f>VLOOKUP($A105,Table1_1[#All],7,FALSE)</f>
        <v>5</v>
      </c>
      <c r="G105" s="5" t="str">
        <f>VLOOKUP($A105,Table1_1[#All],8,FALSE)</f>
        <v>Female</v>
      </c>
      <c r="H105" s="13" t="str">
        <f>VLOOKUP($A105,Table1_1[#All],9,FALSE)</f>
        <v>user188@example.com</v>
      </c>
    </row>
    <row r="106" spans="1:8" x14ac:dyDescent="0.3">
      <c r="A106" s="17" t="s">
        <v>210</v>
      </c>
      <c r="B106" s="12" t="str">
        <f>VLOOKUP(A106,Table1_1[#All],2,FALSE)</f>
        <v>John Doe</v>
      </c>
      <c r="C106" s="5" t="str">
        <f>VLOOKUP($A$2,Table1_1[#All],3,FALSE)</f>
        <v>HR</v>
      </c>
      <c r="D106" s="5" t="str">
        <f>VLOOKUP($A106,Table1_1[#All],4,FALSE)</f>
        <v>USA</v>
      </c>
      <c r="E106" s="5">
        <f>VLOOKUP($A106,Table1_1[#All],5,FALSE)</f>
        <v>57141</v>
      </c>
      <c r="F106" s="5">
        <f>VLOOKUP($A106,Table1_1[#All],7,FALSE)</f>
        <v>2</v>
      </c>
      <c r="G106" s="5" t="str">
        <f>VLOOKUP($A106,Table1_1[#All],8,FALSE)</f>
        <v>MALE</v>
      </c>
      <c r="H106" s="13" t="str">
        <f>VLOOKUP($A106,Table1_1[#All],9,FALSE)</f>
        <v>user165@example.com</v>
      </c>
    </row>
    <row r="107" spans="1:8" x14ac:dyDescent="0.3">
      <c r="A107" s="18" t="s">
        <v>211</v>
      </c>
      <c r="B107" s="12" t="str">
        <f>VLOOKUP(A107,Table1_1[#All],2,FALSE)</f>
        <v>Bob Johnson</v>
      </c>
      <c r="C107" s="5" t="str">
        <f>VLOOKUP($A$2,Table1_1[#All],3,FALSE)</f>
        <v>HR</v>
      </c>
      <c r="D107" s="5" t="str">
        <f>VLOOKUP($A107,Table1_1[#All],4,FALSE)</f>
        <v>Australia</v>
      </c>
      <c r="E107" s="5">
        <f>VLOOKUP($A107,Table1_1[#All],5,FALSE)</f>
        <v>65270</v>
      </c>
      <c r="F107" s="5">
        <f>VLOOKUP($A107,Table1_1[#All],7,FALSE)</f>
        <v>1</v>
      </c>
      <c r="G107" s="5" t="str">
        <f>VLOOKUP($A107,Table1_1[#All],8,FALSE)</f>
        <v>MALE</v>
      </c>
      <c r="H107" s="13" t="str">
        <f>VLOOKUP($A107,Table1_1[#All],9,FALSE)</f>
        <v>user163@example.com</v>
      </c>
    </row>
    <row r="108" spans="1:8" x14ac:dyDescent="0.3">
      <c r="A108" s="17" t="s">
        <v>213</v>
      </c>
      <c r="B108" s="12" t="str">
        <f>VLOOKUP(A108,Table1_1[#All],2,FALSE)</f>
        <v>Bob Johnson</v>
      </c>
      <c r="C108" s="5" t="str">
        <f>VLOOKUP($A$2,Table1_1[#All],3,FALSE)</f>
        <v>HR</v>
      </c>
      <c r="D108" s="5" t="str">
        <f>VLOOKUP($A108,Table1_1[#All],4,FALSE)</f>
        <v>UK</v>
      </c>
      <c r="E108" s="5">
        <f>VLOOKUP($A108,Table1_1[#All],5,FALSE)</f>
        <v>67335</v>
      </c>
      <c r="F108" s="5">
        <f>VLOOKUP($A108,Table1_1[#All],7,FALSE)</f>
        <v>1</v>
      </c>
      <c r="G108" s="5" t="str">
        <f>VLOOKUP($A108,Table1_1[#All],8,FALSE)</f>
        <v>Other</v>
      </c>
      <c r="H108" s="13" t="str">
        <f>VLOOKUP($A108,Table1_1[#All],9,FALSE)</f>
        <v>user112@example.com</v>
      </c>
    </row>
    <row r="109" spans="1:8" ht="15" thickBot="1" x14ac:dyDescent="0.35">
      <c r="A109" s="19" t="s">
        <v>215</v>
      </c>
      <c r="B109" s="14" t="str">
        <f>VLOOKUP(A109,Table1_1[#All],2,FALSE)</f>
        <v>Sam Wilson</v>
      </c>
      <c r="C109" s="15" t="str">
        <f>VLOOKUP($A$2,Table1_1[#All],3,FALSE)</f>
        <v>HR</v>
      </c>
      <c r="D109" s="15" t="str">
        <f>VLOOKUP($A109,Table1_1[#All],4,FALSE)</f>
        <v>India</v>
      </c>
      <c r="E109" s="15">
        <f>VLOOKUP($A109,Table1_1[#All],5,FALSE)</f>
        <v>98475</v>
      </c>
      <c r="F109" s="15">
        <f>VLOOKUP($A109,Table1_1[#All],7,FALSE)</f>
        <v>5</v>
      </c>
      <c r="G109" s="15" t="str">
        <f>VLOOKUP($A109,Table1_1[#All],8,FALSE)</f>
        <v>Other</v>
      </c>
      <c r="H109" s="16" t="str">
        <f>VLOOKUP($A109,Table1_1[#All],9,FALSE)</f>
        <v>user30@example.com</v>
      </c>
    </row>
  </sheetData>
  <mergeCells count="3">
    <mergeCell ref="K6:O6"/>
    <mergeCell ref="K8:O8"/>
    <mergeCell ref="K10:O10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34099F-6985-4931-849F-2F32A9B550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2025-11-02T20:54:43Z</dcterms:created>
  <dcterms:modified xsi:type="dcterms:W3CDTF">2025-11-02T21:14:14Z</dcterms:modified>
</cp:coreProperties>
</file>